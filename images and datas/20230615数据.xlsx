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范文恬大学数据\作业\大三下\数据新闻\戏曲选题\"/>
    </mc:Choice>
  </mc:AlternateContent>
  <xr:revisionPtr revIDLastSave="0" documentId="13_ncr:1_{FA549BF0-DB15-49FE-A9B7-32A9BA37E644}" xr6:coauthVersionLast="47" xr6:coauthVersionMax="47" xr10:uidLastSave="{00000000-0000-0000-0000-000000000000}"/>
  <bookViews>
    <workbookView xWindow="-108" yWindow="-108" windowWidth="22140" windowHeight="13176" firstSheet="7" activeTab="12" xr2:uid="{00000000-000D-0000-FFFF-FFFF00000000}"/>
  </bookViews>
  <sheets>
    <sheet name="全国地方戏曲剧种" sheetId="1" r:id="rId1"/>
    <sheet name="全国戏曲剧团" sheetId="2" r:id="rId2"/>
    <sheet name="戏曲相关企业" sheetId="3" r:id="rId3"/>
    <sheet name="戏曲演出市场" sheetId="4" r:id="rId4"/>
    <sheet name="非遗" sheetId="5" r:id="rId5"/>
    <sheet name="抖音直播" sheetId="6" r:id="rId6"/>
    <sheet name="春晚节目" sheetId="8" r:id="rId7"/>
    <sheet name="杂" sheetId="7" r:id="rId8"/>
    <sheet name="抖音关键词（戏曲）" sheetId="9" r:id="rId9"/>
    <sheet name="抖音戏曲人物画像（近半年）" sheetId="11" r:id="rId10"/>
    <sheet name="抖音关键词对比（近半年）" sheetId="10" r:id="rId11"/>
    <sheet name="近年财政" sheetId="13" r:id="rId12"/>
    <sheet name="主播收入" sheetId="15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8" l="1"/>
  <c r="F4" i="8"/>
  <c r="G4" i="8"/>
  <c r="AI4" i="8"/>
  <c r="K4" i="8"/>
  <c r="W4" i="8"/>
  <c r="X4" i="8"/>
  <c r="Z4" i="8"/>
  <c r="AG4" i="8"/>
  <c r="AH4" i="8"/>
  <c r="AJ4" i="8"/>
  <c r="AK4" i="8"/>
  <c r="W2" i="8"/>
  <c r="Q2" i="8"/>
  <c r="H4" i="8"/>
  <c r="C4" i="8"/>
  <c r="D4" i="8"/>
  <c r="E4" i="8"/>
  <c r="I4" i="8"/>
  <c r="J4" i="8"/>
  <c r="M4" i="8"/>
  <c r="N4" i="8"/>
  <c r="P4" i="8"/>
  <c r="Q4" i="8"/>
  <c r="U4" i="8"/>
  <c r="V4" i="8"/>
  <c r="B4" i="8"/>
  <c r="F10" i="7"/>
  <c r="F9" i="7"/>
  <c r="F8" i="7"/>
  <c r="F7" i="7"/>
  <c r="F6" i="7"/>
  <c r="F5" i="7"/>
  <c r="F4" i="7"/>
  <c r="F3" i="7"/>
  <c r="F2" i="7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" i="5"/>
  <c r="J13" i="4"/>
  <c r="J14" i="4"/>
  <c r="J15" i="4"/>
  <c r="J16" i="4"/>
  <c r="J12" i="4"/>
  <c r="J8" i="4"/>
  <c r="J9" i="4"/>
  <c r="J10" i="4"/>
  <c r="J11" i="4"/>
  <c r="J7" i="4"/>
  <c r="J2" i="4"/>
  <c r="J6" i="4"/>
  <c r="J5" i="4"/>
  <c r="J4" i="4"/>
  <c r="J3" i="4"/>
  <c r="E3" i="3"/>
  <c r="E4" i="3"/>
  <c r="E5" i="3"/>
  <c r="E6" i="3"/>
  <c r="E7" i="3"/>
  <c r="E8" i="3"/>
  <c r="E2" i="3"/>
  <c r="D3" i="3"/>
  <c r="D4" i="3"/>
  <c r="D5" i="3"/>
  <c r="D6" i="3"/>
  <c r="D7" i="3"/>
  <c r="D8" i="3"/>
  <c r="D2" i="3"/>
  <c r="C3" i="3"/>
  <c r="C4" i="3"/>
  <c r="C5" i="3"/>
  <c r="C6" i="3"/>
  <c r="C7" i="3"/>
  <c r="C8" i="3"/>
  <c r="C9" i="3"/>
  <c r="D9" i="3" s="1"/>
  <c r="C2" i="3"/>
</calcChain>
</file>

<file path=xl/sharedStrings.xml><?xml version="1.0" encoding="utf-8"?>
<sst xmlns="http://schemas.openxmlformats.org/spreadsheetml/2006/main" count="424" uniqueCount="245">
  <si>
    <t>时间</t>
    <phoneticPr fontId="1" type="noConversion"/>
  </si>
  <si>
    <t>数量</t>
    <phoneticPr fontId="1" type="noConversion"/>
  </si>
  <si>
    <t>2015年</t>
    <phoneticPr fontId="1" type="noConversion"/>
  </si>
  <si>
    <t>2012年</t>
    <phoneticPr fontId="1" type="noConversion"/>
  </si>
  <si>
    <t>2004年</t>
    <phoneticPr fontId="1" type="noConversion"/>
  </si>
  <si>
    <t>1982年</t>
    <phoneticPr fontId="1" type="noConversion"/>
  </si>
  <si>
    <t>1983年</t>
    <phoneticPr fontId="1" type="noConversion"/>
  </si>
  <si>
    <t>1959年</t>
    <phoneticPr fontId="1" type="noConversion"/>
  </si>
  <si>
    <t>1949年</t>
    <phoneticPr fontId="1" type="noConversion"/>
  </si>
  <si>
    <t>来源：</t>
    <phoneticPr fontId="1" type="noConversion"/>
  </si>
  <si>
    <t>年份</t>
    <phoneticPr fontId="1" type="noConversion"/>
  </si>
  <si>
    <t>2015年</t>
  </si>
  <si>
    <t>山西</t>
    <phoneticPr fontId="1" type="noConversion"/>
  </si>
  <si>
    <t>河北</t>
    <phoneticPr fontId="1" type="noConversion"/>
  </si>
  <si>
    <t>安徽</t>
    <phoneticPr fontId="1" type="noConversion"/>
  </si>
  <si>
    <t>北京</t>
  </si>
  <si>
    <t>北京</t>
    <phoneticPr fontId="1" type="noConversion"/>
  </si>
  <si>
    <t>天津</t>
  </si>
  <si>
    <t>天津</t>
    <phoneticPr fontId="1" type="noConversion"/>
  </si>
  <si>
    <t>内蒙古</t>
    <phoneticPr fontId="1" type="noConversion"/>
  </si>
  <si>
    <t>辽宁</t>
    <phoneticPr fontId="1" type="noConversion"/>
  </si>
  <si>
    <t>吉林</t>
    <phoneticPr fontId="1" type="noConversion"/>
  </si>
  <si>
    <t>黑龙江</t>
    <phoneticPr fontId="1" type="noConversion"/>
  </si>
  <si>
    <t>上海</t>
  </si>
  <si>
    <t>上海</t>
    <phoneticPr fontId="1" type="noConversion"/>
  </si>
  <si>
    <t>江苏</t>
    <phoneticPr fontId="1" type="noConversion"/>
  </si>
  <si>
    <t>浙江</t>
    <phoneticPr fontId="1" type="noConversion"/>
  </si>
  <si>
    <t>福建</t>
    <phoneticPr fontId="1" type="noConversion"/>
  </si>
  <si>
    <t>江西</t>
    <phoneticPr fontId="1" type="noConversion"/>
  </si>
  <si>
    <t>山东</t>
    <phoneticPr fontId="1" type="noConversion"/>
  </si>
  <si>
    <t>河南</t>
    <phoneticPr fontId="1" type="noConversion"/>
  </si>
  <si>
    <t>湖北</t>
    <phoneticPr fontId="1" type="noConversion"/>
  </si>
  <si>
    <t>湖南</t>
    <phoneticPr fontId="1" type="noConversion"/>
  </si>
  <si>
    <t>广东</t>
    <phoneticPr fontId="1" type="noConversion"/>
  </si>
  <si>
    <t>广西</t>
    <phoneticPr fontId="1" type="noConversion"/>
  </si>
  <si>
    <t>海南</t>
    <phoneticPr fontId="1" type="noConversion"/>
  </si>
  <si>
    <t>重庆</t>
    <phoneticPr fontId="1" type="noConversion"/>
  </si>
  <si>
    <t>四川</t>
    <phoneticPr fontId="1" type="noConversion"/>
  </si>
  <si>
    <t>贵州</t>
    <phoneticPr fontId="1" type="noConversion"/>
  </si>
  <si>
    <t>云南</t>
    <phoneticPr fontId="1" type="noConversion"/>
  </si>
  <si>
    <t>西藏</t>
    <phoneticPr fontId="1" type="noConversion"/>
  </si>
  <si>
    <t>陕西</t>
    <phoneticPr fontId="1" type="noConversion"/>
  </si>
  <si>
    <t>甘肃</t>
    <phoneticPr fontId="1" type="noConversion"/>
  </si>
  <si>
    <t>青海</t>
    <phoneticPr fontId="1" type="noConversion"/>
  </si>
  <si>
    <t>宁夏</t>
    <phoneticPr fontId="1" type="noConversion"/>
  </si>
  <si>
    <t>省份</t>
    <phoneticPr fontId="1" type="noConversion"/>
  </si>
  <si>
    <t>新疆</t>
    <phoneticPr fontId="1" type="noConversion"/>
  </si>
  <si>
    <t>新疆生产建设兵团</t>
    <phoneticPr fontId="1" type="noConversion"/>
  </si>
  <si>
    <t>分布区域在2个省区市以上(含)的剧种48个，分布区域仅限1个省区市的剧种300个。</t>
  </si>
  <si>
    <t>2023年</t>
    <phoneticPr fontId="1" type="noConversion"/>
  </si>
  <si>
    <t>2022年</t>
    <phoneticPr fontId="1" type="noConversion"/>
  </si>
  <si>
    <t>2021年</t>
  </si>
  <si>
    <t>2020年</t>
  </si>
  <si>
    <t>2019年</t>
  </si>
  <si>
    <t>2018年</t>
  </si>
  <si>
    <t>2017年</t>
  </si>
  <si>
    <t>2016年</t>
  </si>
  <si>
    <t>增量</t>
    <phoneticPr fontId="1" type="noConversion"/>
  </si>
  <si>
    <t>增长率</t>
    <phoneticPr fontId="1" type="noConversion"/>
  </si>
  <si>
    <t>增量变化</t>
    <phoneticPr fontId="1" type="noConversion"/>
  </si>
  <si>
    <t>城市</t>
    <phoneticPr fontId="1" type="noConversion"/>
  </si>
  <si>
    <t>菏泽</t>
    <phoneticPr fontId="1" type="noConversion"/>
  </si>
  <si>
    <t>阜阳</t>
    <phoneticPr fontId="1" type="noConversion"/>
  </si>
  <si>
    <t>苏州</t>
    <phoneticPr fontId="1" type="noConversion"/>
  </si>
  <si>
    <t>宿州</t>
    <phoneticPr fontId="1" type="noConversion"/>
  </si>
  <si>
    <t>驻马店</t>
    <phoneticPr fontId="1" type="noConversion"/>
  </si>
  <si>
    <t>南阳</t>
    <phoneticPr fontId="1" type="noConversion"/>
  </si>
  <si>
    <t>商丘</t>
    <phoneticPr fontId="1" type="noConversion"/>
  </si>
  <si>
    <t>深圳</t>
    <phoneticPr fontId="1" type="noConversion"/>
  </si>
  <si>
    <t>邯郸</t>
    <phoneticPr fontId="1" type="noConversion"/>
  </si>
  <si>
    <t>演出场次</t>
    <phoneticPr fontId="1" type="noConversion"/>
  </si>
  <si>
    <t>京剧30%</t>
    <phoneticPr fontId="1" type="noConversion"/>
  </si>
  <si>
    <t>越剧、黄梅戏、评剧等亦是市场关注度较高的戏曲类型</t>
    <phoneticPr fontId="1" type="noConversion"/>
  </si>
  <si>
    <t>昆曲21%</t>
    <phoneticPr fontId="1" type="noConversion"/>
  </si>
  <si>
    <t>2021年</t>
    <phoneticPr fontId="1" type="noConversion"/>
  </si>
  <si>
    <t>地区</t>
    <phoneticPr fontId="1" type="noConversion"/>
  </si>
  <si>
    <t>北方</t>
    <phoneticPr fontId="1" type="noConversion"/>
  </si>
  <si>
    <t>华东</t>
    <phoneticPr fontId="1" type="noConversion"/>
  </si>
  <si>
    <t>华中</t>
    <phoneticPr fontId="1" type="noConversion"/>
  </si>
  <si>
    <t>华南</t>
    <phoneticPr fontId="1" type="noConversion"/>
  </si>
  <si>
    <t>西部</t>
    <phoneticPr fontId="1" type="noConversion"/>
  </si>
  <si>
    <t>平均客单价/元</t>
    <phoneticPr fontId="1" type="noConversion"/>
  </si>
  <si>
    <t>脱口秀</t>
    <phoneticPr fontId="1" type="noConversion"/>
  </si>
  <si>
    <t>戏曲</t>
    <phoneticPr fontId="1" type="noConversion"/>
  </si>
  <si>
    <t>演唱会、音乐节</t>
    <phoneticPr fontId="1" type="noConversion"/>
  </si>
  <si>
    <t>客单价指观众一次购票订单的消费金额，平均客单价计算方式为票房销售总额除以订单数量。</t>
    <phoneticPr fontId="1" type="noConversion"/>
  </si>
  <si>
    <t>演出总场次1.79万场，票房收入7.69亿元，平均票价112元。</t>
  </si>
  <si>
    <t>直辖市、省会城市及计划单列市前10</t>
  </si>
  <si>
    <t>辽宁沈阳</t>
  </si>
  <si>
    <t>四川成都</t>
  </si>
  <si>
    <t>湖南长沙</t>
  </si>
  <si>
    <t>湖北武汉</t>
  </si>
  <si>
    <t>浙江杭州</t>
  </si>
  <si>
    <t>辽宁大连</t>
  </si>
  <si>
    <t>河南郑州</t>
  </si>
  <si>
    <t>江苏苏州</t>
  </si>
  <si>
    <t>浙江宁波</t>
  </si>
  <si>
    <t>江苏常州</t>
  </si>
  <si>
    <t>山东济宁</t>
  </si>
  <si>
    <t>辽宁辽阳</t>
  </si>
  <si>
    <t>浙江绍兴</t>
  </si>
  <si>
    <t>江苏泰州</t>
  </si>
  <si>
    <t>山东潍坊</t>
  </si>
  <si>
    <t>湖南株洲</t>
  </si>
  <si>
    <t>湖北潜江</t>
  </si>
  <si>
    <t>城市戏曲演出场次、票房综合排序</t>
    <phoneticPr fontId="1" type="noConversion"/>
  </si>
  <si>
    <t>地级城市前10</t>
    <phoneticPr fontId="1" type="noConversion"/>
  </si>
  <si>
    <t>传统戏剧</t>
    <phoneticPr fontId="1" type="noConversion"/>
  </si>
  <si>
    <t>新疆生产兵团</t>
    <phoneticPr fontId="1" type="noConversion"/>
  </si>
  <si>
    <t>香港</t>
    <phoneticPr fontId="1" type="noConversion"/>
  </si>
  <si>
    <t>澳门</t>
    <phoneticPr fontId="1" type="noConversion"/>
  </si>
  <si>
    <t>中直单位</t>
    <phoneticPr fontId="1" type="noConversion"/>
  </si>
  <si>
    <t>2022年抖音戏曲直播超80万场，累计看播人次25亿，场均3200人次观看，平台上江浙沪戏曲直播场次超过了36万场，累计观看人次超过11亿，</t>
    <phoneticPr fontId="1" type="noConversion"/>
  </si>
  <si>
    <t>广东戏曲类直播和曲艺类直播场次增幅分别为115%和105%，增幅均超演艺类直播均值。</t>
  </si>
  <si>
    <t>2022年4月，抖音直播推出“DOU有好戏”计划，希望在一年时间内，至少帮助10个院团、1000名专业戏曲演员打造线上第二剧场。活动现场，抖音公布了该计划的最新进展：截至今年4月，已经有2705名专业戏曲演员、163家院团机构加入该计划，通过抖音直播开展线上演出。</t>
    <phoneticPr fontId="1" type="noConversion"/>
  </si>
  <si>
    <t>增加21</t>
    <phoneticPr fontId="1" type="noConversion"/>
  </si>
  <si>
    <t>增加2</t>
    <phoneticPr fontId="1" type="noConversion"/>
  </si>
  <si>
    <t>减少6</t>
    <phoneticPr fontId="1" type="noConversion"/>
  </si>
  <si>
    <t>增加57</t>
    <phoneticPr fontId="1" type="noConversion"/>
  </si>
  <si>
    <t>减少2</t>
    <phoneticPr fontId="1" type="noConversion"/>
  </si>
  <si>
    <t>增加1</t>
    <phoneticPr fontId="1" type="noConversion"/>
  </si>
  <si>
    <t>平均每年</t>
    <phoneticPr fontId="1" type="noConversion"/>
  </si>
  <si>
    <t>增加794</t>
    <phoneticPr fontId="1" type="noConversion"/>
  </si>
  <si>
    <t>其中国办团体1524个，占14.83%；民营团体（含民间班社）8754个，占85.17%，是国办的5.7倍。348个剧种中，共241个剧种拥有国办团体（69.25%），其中120个剧种仅有1个国办团体；共107个剧种无国办团体（44.40%），仅有民营团体或民间班社，其中70个剧种仅有民间班社。</t>
    <phoneticPr fontId="1" type="noConversion"/>
  </si>
  <si>
    <t>河南的17.81%</t>
    <phoneticPr fontId="1" type="noConversion"/>
  </si>
  <si>
    <t>安徽的1.31倍，湖北的5.74倍</t>
    <phoneticPr fontId="1" type="noConversion"/>
  </si>
  <si>
    <t>安徽的19.54%</t>
    <phoneticPr fontId="1" type="noConversion"/>
  </si>
  <si>
    <t>江苏的28.84%</t>
    <phoneticPr fontId="1" type="noConversion"/>
  </si>
  <si>
    <t>河南的10.05%</t>
    <phoneticPr fontId="1" type="noConversion"/>
  </si>
  <si>
    <t>河南的9.98%</t>
    <phoneticPr fontId="1" type="noConversion"/>
  </si>
  <si>
    <t>河南的9.44%</t>
    <phoneticPr fontId="1" type="noConversion"/>
  </si>
  <si>
    <t>广东的36.04%</t>
    <phoneticPr fontId="1" type="noConversion"/>
  </si>
  <si>
    <t>河北的18.80%</t>
    <phoneticPr fontId="1" type="noConversion"/>
  </si>
  <si>
    <t>江苏的23.15%</t>
    <phoneticPr fontId="1" type="noConversion"/>
  </si>
  <si>
    <r>
      <t>最受市场欢迎的戏曲类别前5名是：</t>
    </r>
    <r>
      <rPr>
        <sz val="11"/>
        <color rgb="FFFF0000"/>
        <rFont val="等线"/>
        <family val="3"/>
        <charset val="134"/>
        <scheme val="minor"/>
      </rPr>
      <t>昆曲、京剧</t>
    </r>
    <r>
      <rPr>
        <sz val="11"/>
        <color theme="1"/>
        <rFont val="等线"/>
        <family val="2"/>
        <scheme val="minor"/>
      </rPr>
      <t>、越剧、沪剧、豫剧。</t>
    </r>
    <phoneticPr fontId="1" type="noConversion"/>
  </si>
  <si>
    <t>以华中、华北地区为主</t>
    <phoneticPr fontId="1" type="noConversion"/>
  </si>
  <si>
    <t>逐年增加，2019年受疫情影响大幅降低</t>
  </si>
  <si>
    <t>剧种数量</t>
    <phoneticPr fontId="1" type="noConversion"/>
  </si>
  <si>
    <t>企业数量</t>
    <phoneticPr fontId="1" type="noConversion"/>
  </si>
  <si>
    <t>非遗传统戏剧</t>
    <phoneticPr fontId="1" type="noConversion"/>
  </si>
  <si>
    <t>2022抖音最受欢迎五大县级戏曲剧团</t>
    <phoneticPr fontId="1" type="noConversion"/>
  </si>
  <si>
    <t>怀宁县黄梅戏剧团</t>
    <phoneticPr fontId="1" type="noConversion"/>
  </si>
  <si>
    <t>黄梅县黄梅戏剧院</t>
    <phoneticPr fontId="1" type="noConversion"/>
  </si>
  <si>
    <t>皖豫征服豫剧团</t>
    <phoneticPr fontId="1" type="noConversion"/>
  </si>
  <si>
    <t>万荣县蒲剧团</t>
    <phoneticPr fontId="1" type="noConversion"/>
  </si>
  <si>
    <t>花乡豫剧</t>
    <phoneticPr fontId="1" type="noConversion"/>
  </si>
  <si>
    <t>2023抖音主播和听众最多</t>
    <phoneticPr fontId="1" type="noConversion"/>
  </si>
  <si>
    <t>中国演出行业协会</t>
    <phoneticPr fontId="1" type="noConversion"/>
  </si>
  <si>
    <t>2019年</t>
    <phoneticPr fontId="1" type="noConversion"/>
  </si>
  <si>
    <t>上半年</t>
    <phoneticPr fontId="1" type="noConversion"/>
  </si>
  <si>
    <t>演出0.74万场</t>
    <phoneticPr fontId="1" type="noConversion"/>
  </si>
  <si>
    <t>比2018同期+4.51%</t>
    <phoneticPr fontId="1" type="noConversion"/>
  </si>
  <si>
    <t>票房收入4.1亿元</t>
    <phoneticPr fontId="1" type="noConversion"/>
  </si>
  <si>
    <t>第三季度</t>
    <phoneticPr fontId="1" type="noConversion"/>
  </si>
  <si>
    <t>演出0.48万元</t>
    <phoneticPr fontId="1" type="noConversion"/>
  </si>
  <si>
    <t>同期+7.89%</t>
    <phoneticPr fontId="1" type="noConversion"/>
  </si>
  <si>
    <t>同期-7.69%</t>
    <phoneticPr fontId="1" type="noConversion"/>
  </si>
  <si>
    <t>收入2.72亿元</t>
    <phoneticPr fontId="1" type="noConversion"/>
  </si>
  <si>
    <t>同期-5.56%</t>
    <phoneticPr fontId="1" type="noConversion"/>
  </si>
  <si>
    <t>戏票房收入2.08亿元（-87.00%，比2019第三季度的还少），平均票价92元（-17.86%）</t>
    <phoneticPr fontId="1" type="noConversion"/>
  </si>
  <si>
    <t>全场</t>
    <phoneticPr fontId="1" type="noConversion"/>
  </si>
  <si>
    <t>央视网自采</t>
    <phoneticPr fontId="1" type="noConversion"/>
  </si>
  <si>
    <t>首届戏曲春晚</t>
    <phoneticPr fontId="1" type="noConversion"/>
  </si>
  <si>
    <t>周和平.中国非物质文化遗产保护的实践与探索[J].求是,2010,No.521(04):44-46.</t>
    <phoneticPr fontId="1" type="noConversion"/>
  </si>
  <si>
    <t>文旅部https://www.mct.gov.cn/whzx/whyw/201712/t20171226_830165.htm</t>
    <phoneticPr fontId="1" type="noConversion"/>
  </si>
  <si>
    <t>https://www.mct.gov.cn/whzx/bnsj/cws/201111/t20111128_827357.htm</t>
    <phoneticPr fontId="1" type="noConversion"/>
  </si>
  <si>
    <t>文旅部 https://www.mct.gov.cn/whzx/whyw/201712/t20171226_830165.htm</t>
    <phoneticPr fontId="1" type="noConversion"/>
  </si>
  <si>
    <t>企查查 https://baijiahao.baidu.com/s?id=1766585032545715805&amp;wfr=spider&amp;for=pc</t>
    <phoneticPr fontId="1" type="noConversion"/>
  </si>
  <si>
    <t>https://mp.weixin.qq.com/s/8ZJUGxgzc6HOIRJGiu3lrQ</t>
  </si>
  <si>
    <t>https://mp.weixin.qq.com/s/YoaaC6gFk0M_opPm570Vtw</t>
  </si>
  <si>
    <t>国家非遗网 https://www.ihchina.cn/project.html</t>
    <phoneticPr fontId="1" type="noConversion"/>
  </si>
  <si>
    <t>2023.5.22</t>
    <phoneticPr fontId="1" type="noConversion"/>
  </si>
  <si>
    <t>何赛飞怒批行业现状</t>
    <phoneticPr fontId="1" type="noConversion"/>
  </si>
  <si>
    <t>《满江红》戏曲bgm</t>
    <phoneticPr fontId="1" type="noConversion"/>
  </si>
  <si>
    <t>2023.1.24-1.31</t>
    <phoneticPr fontId="1" type="noConversion"/>
  </si>
  <si>
    <t>2022.12.14</t>
    <phoneticPr fontId="1" type="noConversion"/>
  </si>
  <si>
    <t>戏曲开腔即使台下没人也要唱完2022.11.27</t>
    <phoneticPr fontId="1" type="noConversion"/>
  </si>
  <si>
    <t>2022.11.27</t>
    <phoneticPr fontId="1" type="noConversion"/>
  </si>
  <si>
    <t>谁说戏曲不抖音</t>
    <phoneticPr fontId="1" type="noConversion"/>
  </si>
  <si>
    <t>2022.9.10</t>
    <phoneticPr fontId="1" type="noConversion"/>
  </si>
  <si>
    <t>戏曲正确打开方式</t>
    <phoneticPr fontId="1" type="noConversion"/>
  </si>
  <si>
    <t>2022.07.24</t>
    <phoneticPr fontId="1" type="noConversion"/>
  </si>
  <si>
    <t>当老外唱响中国戏曲</t>
    <phoneticPr fontId="1" type="noConversion"/>
  </si>
  <si>
    <t>2022.7.1</t>
    <phoneticPr fontId="1" type="noConversion"/>
  </si>
  <si>
    <t>戏曲后台强妆</t>
    <phoneticPr fontId="1" type="noConversion"/>
  </si>
  <si>
    <t>80后非遗传承人戏曲课上表演耍牙</t>
    <phoneticPr fontId="1" type="noConversion"/>
  </si>
  <si>
    <t>2022.5.26-27</t>
    <phoneticPr fontId="1" type="noConversion"/>
  </si>
  <si>
    <t>2022.5.4</t>
    <phoneticPr fontId="1" type="noConversion"/>
  </si>
  <si>
    <t>戏曲专业学生模仿十八罗汉</t>
    <phoneticPr fontId="1" type="noConversion"/>
  </si>
  <si>
    <t>用口罩画出来的戏曲造型</t>
    <phoneticPr fontId="1" type="noConversion"/>
  </si>
  <si>
    <t>2021.12.2-3</t>
    <phoneticPr fontId="1" type="noConversion"/>
  </si>
  <si>
    <t>2021.11.2</t>
    <phoneticPr fontId="1" type="noConversion"/>
  </si>
  <si>
    <t>南京欢乐谷乱用戏曲照片</t>
    <phoneticPr fontId="1" type="noConversion"/>
  </si>
  <si>
    <t>热搜</t>
    <phoneticPr fontId="1" type="noConversion"/>
  </si>
  <si>
    <t>最高搜索指数</t>
    <phoneticPr fontId="1" type="noConversion"/>
  </si>
  <si>
    <t>环比</t>
    <phoneticPr fontId="1" type="noConversion"/>
  </si>
  <si>
    <t>平均值</t>
    <phoneticPr fontId="1" type="noConversion"/>
  </si>
  <si>
    <t>同比</t>
    <phoneticPr fontId="1" type="noConversion"/>
  </si>
  <si>
    <t>26.2万</t>
    <phoneticPr fontId="1" type="noConversion"/>
  </si>
  <si>
    <t>10.2万</t>
    <phoneticPr fontId="1" type="noConversion"/>
  </si>
  <si>
    <t>7.9万</t>
    <phoneticPr fontId="1" type="noConversion"/>
  </si>
  <si>
    <t>6.2万</t>
    <phoneticPr fontId="1" type="noConversion"/>
  </si>
  <si>
    <t>半年期间的关键词搜索指数</t>
    <phoneticPr fontId="1" type="noConversion"/>
  </si>
  <si>
    <t>巨量算数</t>
  </si>
  <si>
    <t>数据来源：</t>
    <phoneticPr fontId="1" type="noConversion"/>
  </si>
  <si>
    <t>分布占比</t>
    <phoneticPr fontId="1" type="noConversion"/>
  </si>
  <si>
    <t>0..20%</t>
    <phoneticPr fontId="1" type="noConversion"/>
  </si>
  <si>
    <t>年龄</t>
    <phoneticPr fontId="1" type="noConversion"/>
  </si>
  <si>
    <t>分布</t>
    <phoneticPr fontId="1" type="noConversion"/>
  </si>
  <si>
    <t>18-23</t>
    <phoneticPr fontId="1" type="noConversion"/>
  </si>
  <si>
    <t>24-30</t>
    <phoneticPr fontId="1" type="noConversion"/>
  </si>
  <si>
    <t>31-40</t>
    <phoneticPr fontId="1" type="noConversion"/>
  </si>
  <si>
    <t>41-50</t>
    <phoneticPr fontId="1" type="noConversion"/>
  </si>
  <si>
    <t>51+</t>
    <phoneticPr fontId="1" type="noConversion"/>
  </si>
  <si>
    <t>女性47%</t>
    <phoneticPr fontId="1" type="noConversion"/>
  </si>
  <si>
    <t>男性53%</t>
    <phoneticPr fontId="1" type="noConversion"/>
  </si>
  <si>
    <t>日期</t>
    <phoneticPr fontId="1" type="noConversion"/>
  </si>
  <si>
    <t>京剧</t>
    <phoneticPr fontId="1" type="noConversion"/>
  </si>
  <si>
    <t>昆曲</t>
    <phoneticPr fontId="1" type="noConversion"/>
  </si>
  <si>
    <t>搜索指数</t>
    <phoneticPr fontId="1" type="noConversion"/>
  </si>
  <si>
    <t>2023.4.6</t>
    <phoneticPr fontId="1" type="noConversion"/>
  </si>
  <si>
    <t>郭德纲收到已故京剧老人的礼物</t>
    <phoneticPr fontId="1" type="noConversion"/>
  </si>
  <si>
    <t>果小菁是国家几级京剧演员</t>
    <phoneticPr fontId="1" type="noConversion"/>
  </si>
  <si>
    <t>2023.4.2-4</t>
    <phoneticPr fontId="1" type="noConversion"/>
  </si>
  <si>
    <t>2023.3.29</t>
    <phoneticPr fontId="1" type="noConversion"/>
  </si>
  <si>
    <t>京剧表演艺术家孙毓敏去世</t>
    <phoneticPr fontId="1" type="noConversion"/>
  </si>
  <si>
    <t>2023.3.11</t>
    <phoneticPr fontId="1" type="noConversion"/>
  </si>
  <si>
    <t>果小菁</t>
    <phoneticPr fontId="1" type="noConversion"/>
  </si>
  <si>
    <t>2023.2.8</t>
    <phoneticPr fontId="1" type="noConversion"/>
  </si>
  <si>
    <t>李沁唱昆曲</t>
    <phoneticPr fontId="1" type="noConversion"/>
  </si>
  <si>
    <t>2023.1.1-15</t>
    <phoneticPr fontId="1" type="noConversion"/>
  </si>
  <si>
    <t>14.8万</t>
    <phoneticPr fontId="1" type="noConversion"/>
  </si>
  <si>
    <t>财政部下达2022年中央支持地方公共文化服务体系建设补助资金，此次下达123247万元，2022年总预算共1450939万元。</t>
    <phoneticPr fontId="1" type="noConversion"/>
  </si>
  <si>
    <t>财政部指出，流动舞台车按照每台50万元标准核定；戏曲公益性演出(戏曲进乡村)按照每个乡镇每年配送6场演出、每场演出补助5000元标准核定；戏曲公益性演出(濒危剧种免费或低票价演出)按照濒危剧种数量和测算标准(每年购买演出100场，每场5000元)核定分省补助资金</t>
    <phoneticPr fontId="1" type="noConversion"/>
  </si>
  <si>
    <t>2023年四川省首届川剧汇演有2300万元财政专项资金</t>
    <phoneticPr fontId="1" type="noConversion"/>
  </si>
  <si>
    <t>2019年，中央财政投入3.89亿元为12984个贫困地区乡镇共配送约8万场以地方戏曲为主的演出。</t>
    <phoneticPr fontId="1" type="noConversion"/>
  </si>
  <si>
    <t>山西省财政2023年统筹中央补助资金及省级自有财力，下达市县稀有剧种保护资金2125万元。具体购买单价为5000元/场——由单一院团传承的剧种，购买100场/年；由多个院团传承的剧种，每个院团最低购买50场/年。</t>
    <phoneticPr fontId="1" type="noConversion"/>
  </si>
  <si>
    <t>戏曲资金主要用于戏曲创作生产、传播交流推广、征集收藏和人才培养等方面。创作生产方面，包括购置和更新服装、乐器、灯光和音响等设备，创作打磨优秀剧目，组织演出活动等。传播交流推广方面，包括举办各类戏曲节庆、展览、论坛、讲座等活动，赴境外进行艺术交流演出，开展网络直播、录制等新媒体传播方式等。征集收藏方面，包括收集整理戏曲史料、文献、影像等资料，建立戏曲档案馆、博物馆等机构等。人才培养方面，包括对中等职业教育戏曲表演专业学生实行免学费政策，对国家级代表性传承人给予补助，对名家收徒传艺工程给予支持，对优秀青年演员进行培训和选拔等。</t>
    <phoneticPr fontId="1" type="noConversion"/>
  </si>
  <si>
    <t>越剧小生郑蒙蒙是杭州越剧院的戏曲演员，在抖音的粉丝近50万。在第一财经记者点进去观看的十分钟，郑蒙蒙的直播间有超过2800人同时在线。在下播前，她唱了一段越剧选段《抱孩儿》，获得了3个“花开烂漫”、1个“热气球”等抖音打赏，换算成人民币大概在300元左右。</t>
    <phoneticPr fontId="1" type="noConversion"/>
  </si>
  <si>
    <t>抖音数据显示，2022年以来，戏曲主播的直播收入同比去年增长了81.36%，其中来自浙江的主播收入同比增长了99.64%。分剧种来看，上海和浙江直播收入最高的剧种是越剧，江苏则是淮剧。</t>
    <phoneticPr fontId="1" type="noConversion"/>
  </si>
  <si>
    <t>抖音直播戏曲垂类运营负责人戴宏博表示，2022年5-12月，抖音一共扶持了1054名专业的戏曲演员，他们的直播收入环比提升了86%，也支持了124家戏曲院团机构开展线上直播。</t>
    <phoneticPr fontId="1" type="noConversion"/>
  </si>
  <si>
    <t>文慧沪剧团团长王慧莉表示，剧团在抖音平台上的打赏收入一个月在2万元左右，可以给团队补充工资，但远远不够。从2022年10月中旬开始直播带货，在一个多月里文慧沪剧团带货的收入大约在5万至 6万元之间，远远超过打赏的收入。</t>
    <phoneticPr fontId="1" type="noConversion"/>
  </si>
  <si>
    <t>《2021抖音数据报告》显示，曲艺类主播平均每天开播3719场，每场获得116次网友打赏鼓励，曲艺类主播收入同比增长高达232%。</t>
    <phoneticPr fontId="1" type="noConversion"/>
  </si>
  <si>
    <t>《2023抖音演艺直播数据报告·广东篇》报告显示，2022年，广东地区曲艺类直播打赏收入增长64%，戏曲类直播打赏收入增长则达到了126%。</t>
    <phoneticPr fontId="1" type="noConversion"/>
  </si>
  <si>
    <t>https://mp.weixin.qq.com/s/pyiQdga6OrNQIsmRb9rnfw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</si>
</sst>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color rgb="FF000000"/>
      <name val="瀹嬩綋"/>
      <family val="3"/>
      <charset val="134"/>
    </font>
    <font>
      <sz val="10"/>
      <color rgb="FF333333"/>
      <name val="宋体"/>
      <family val="3"/>
      <charset val="134"/>
    </font>
    <font>
      <sz val="11"/>
      <color rgb="FF000000"/>
      <name val="宋体"/>
      <family val="2"/>
      <charset val="134"/>
    </font>
    <font>
      <sz val="11"/>
      <color rgb="FF333333"/>
      <name val="微软雅黑"/>
      <family val="2"/>
      <charset val="134"/>
    </font>
    <font>
      <sz val="14"/>
      <color rgb="FF444444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8"/>
      <color rgb="FF333333"/>
      <name val="Arial"/>
      <family val="2"/>
    </font>
    <font>
      <u/>
      <sz val="11"/>
      <color theme="10"/>
      <name val="等线"/>
      <family val="2"/>
      <scheme val="minor"/>
    </font>
    <font>
      <sz val="11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3" fillId="0" borderId="0">
      <alignment vertical="center"/>
    </xf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0" fontId="0" fillId="0" borderId="0" xfId="1" applyNumberFormat="1" applyFont="1" applyAlignme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10" fontId="0" fillId="2" borderId="0" xfId="1" applyNumberFormat="1" applyFont="1" applyFill="1" applyAlignment="1"/>
    <xf numFmtId="0" fontId="10" fillId="0" borderId="0" xfId="0" applyFont="1"/>
    <xf numFmtId="0" fontId="11" fillId="0" borderId="0" xfId="0" applyFont="1"/>
    <xf numFmtId="0" fontId="0" fillId="3" borderId="0" xfId="0" applyFill="1"/>
    <xf numFmtId="10" fontId="0" fillId="3" borderId="0" xfId="1" applyNumberFormat="1" applyFont="1" applyFill="1" applyAlignment="1"/>
    <xf numFmtId="10" fontId="0" fillId="0" borderId="0" xfId="1" applyNumberFormat="1" applyFont="1" applyFill="1" applyAlignment="1"/>
    <xf numFmtId="10" fontId="0" fillId="0" borderId="0" xfId="0" applyNumberFormat="1"/>
    <xf numFmtId="176" fontId="0" fillId="0" borderId="0" xfId="1" applyNumberFormat="1" applyFont="1" applyAlignment="1"/>
    <xf numFmtId="176" fontId="0" fillId="0" borderId="0" xfId="0" applyNumberFormat="1"/>
    <xf numFmtId="176" fontId="0" fillId="2" borderId="0" xfId="0" applyNumberFormat="1" applyFill="1"/>
    <xf numFmtId="0" fontId="12" fillId="0" borderId="0" xfId="2"/>
    <xf numFmtId="9" fontId="0" fillId="0" borderId="0" xfId="0" applyNumberFormat="1"/>
  </cellXfs>
  <cellStyles count="4">
    <cellStyle name="百分比" xfId="1" builtinId="5"/>
    <cellStyle name="常规" xfId="0" builtinId="0"/>
    <cellStyle name="常规 2" xfId="3" xr:uid="{99B95FDA-9711-4538-B2AD-0C33EF3A9D9F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mct.gov.cn/whzx/bnsj/cws/201111/t20111128_827357.ht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p.weixin.qq.com/s/pyiQdga6OrNQIsmRb9rnf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>
      <selection activeCell="F4" sqref="F4"/>
    </sheetView>
  </sheetViews>
  <sheetFormatPr defaultRowHeight="13.8"/>
  <sheetData>
    <row r="1" spans="1:8">
      <c r="A1" t="s">
        <v>0</v>
      </c>
      <c r="B1" t="s">
        <v>1</v>
      </c>
      <c r="C1" t="s">
        <v>121</v>
      </c>
      <c r="F1" t="s">
        <v>45</v>
      </c>
      <c r="G1" t="s">
        <v>1</v>
      </c>
    </row>
    <row r="2" spans="1:8">
      <c r="A2" t="s">
        <v>2</v>
      </c>
      <c r="B2">
        <v>348</v>
      </c>
      <c r="C2" t="s">
        <v>115</v>
      </c>
      <c r="F2" s="8" t="s">
        <v>12</v>
      </c>
      <c r="G2" s="8">
        <v>38</v>
      </c>
      <c r="H2" t="s">
        <v>48</v>
      </c>
    </row>
    <row r="3" spans="1:8">
      <c r="A3" t="s">
        <v>3</v>
      </c>
      <c r="B3">
        <v>286</v>
      </c>
      <c r="C3" t="s">
        <v>116</v>
      </c>
      <c r="F3" s="8" t="s">
        <v>13</v>
      </c>
      <c r="G3" s="8">
        <v>36</v>
      </c>
      <c r="H3" t="s">
        <v>135</v>
      </c>
    </row>
    <row r="4" spans="1:8">
      <c r="A4" t="s">
        <v>4</v>
      </c>
      <c r="B4">
        <v>260</v>
      </c>
      <c r="C4" t="s">
        <v>117</v>
      </c>
      <c r="F4" s="8" t="s">
        <v>14</v>
      </c>
      <c r="G4" s="8">
        <v>31</v>
      </c>
    </row>
    <row r="5" spans="1:8">
      <c r="A5" t="s">
        <v>6</v>
      </c>
      <c r="B5">
        <v>374</v>
      </c>
      <c r="C5" t="s">
        <v>118</v>
      </c>
      <c r="F5" s="8" t="s">
        <v>29</v>
      </c>
      <c r="G5" s="8">
        <v>28</v>
      </c>
    </row>
    <row r="6" spans="1:8">
      <c r="A6" t="s">
        <v>5</v>
      </c>
      <c r="B6">
        <v>317</v>
      </c>
      <c r="C6" t="s">
        <v>119</v>
      </c>
      <c r="F6" s="8" t="s">
        <v>28</v>
      </c>
      <c r="G6" s="8">
        <v>26</v>
      </c>
    </row>
    <row r="7" spans="1:8">
      <c r="A7" t="s">
        <v>7</v>
      </c>
      <c r="B7">
        <v>368</v>
      </c>
      <c r="C7" t="s">
        <v>120</v>
      </c>
      <c r="F7" s="8" t="s">
        <v>31</v>
      </c>
      <c r="G7" s="8">
        <v>26</v>
      </c>
    </row>
    <row r="8" spans="1:8">
      <c r="A8" t="s">
        <v>8</v>
      </c>
      <c r="B8">
        <v>360</v>
      </c>
      <c r="F8" s="8" t="s">
        <v>41</v>
      </c>
      <c r="G8" s="8">
        <v>26</v>
      </c>
    </row>
    <row r="9" spans="1:8">
      <c r="A9" t="s">
        <v>9</v>
      </c>
      <c r="B9" t="s">
        <v>163</v>
      </c>
      <c r="F9" s="8" t="s">
        <v>30</v>
      </c>
      <c r="G9" s="8">
        <v>25</v>
      </c>
    </row>
    <row r="10" spans="1:8">
      <c r="B10" t="s">
        <v>164</v>
      </c>
      <c r="F10" s="8" t="s">
        <v>27</v>
      </c>
      <c r="G10" s="8">
        <v>23</v>
      </c>
    </row>
    <row r="11" spans="1:8">
      <c r="A11" s="11"/>
      <c r="F11" s="8" t="s">
        <v>34</v>
      </c>
      <c r="G11" s="8">
        <v>21</v>
      </c>
    </row>
    <row r="12" spans="1:8">
      <c r="F12" t="s">
        <v>25</v>
      </c>
      <c r="G12">
        <v>20</v>
      </c>
    </row>
    <row r="13" spans="1:8">
      <c r="F13" t="s">
        <v>32</v>
      </c>
      <c r="G13">
        <v>20</v>
      </c>
    </row>
    <row r="14" spans="1:8">
      <c r="F14" t="s">
        <v>39</v>
      </c>
      <c r="G14">
        <v>18</v>
      </c>
    </row>
    <row r="15" spans="1:8">
      <c r="F15" t="s">
        <v>26</v>
      </c>
      <c r="G15">
        <v>16</v>
      </c>
    </row>
    <row r="16" spans="1:8">
      <c r="F16" t="s">
        <v>33</v>
      </c>
      <c r="G16">
        <v>16</v>
      </c>
    </row>
    <row r="17" spans="6:7">
      <c r="F17" t="s">
        <v>19</v>
      </c>
      <c r="G17">
        <v>14</v>
      </c>
    </row>
    <row r="18" spans="6:7">
      <c r="F18" t="s">
        <v>42</v>
      </c>
      <c r="G18">
        <v>13</v>
      </c>
    </row>
    <row r="19" spans="6:7">
      <c r="F19" t="s">
        <v>37</v>
      </c>
      <c r="G19">
        <v>11</v>
      </c>
    </row>
    <row r="20" spans="6:7">
      <c r="F20" t="s">
        <v>38</v>
      </c>
      <c r="G20">
        <v>10</v>
      </c>
    </row>
    <row r="21" spans="6:7">
      <c r="F21" t="s">
        <v>24</v>
      </c>
      <c r="G21">
        <v>9</v>
      </c>
    </row>
    <row r="22" spans="6:7">
      <c r="F22" t="s">
        <v>16</v>
      </c>
      <c r="G22">
        <v>8</v>
      </c>
    </row>
    <row r="23" spans="6:7">
      <c r="F23" t="s">
        <v>21</v>
      </c>
      <c r="G23">
        <v>8</v>
      </c>
    </row>
    <row r="24" spans="6:7">
      <c r="F24" t="s">
        <v>43</v>
      </c>
      <c r="G24">
        <v>7</v>
      </c>
    </row>
    <row r="25" spans="6:7">
      <c r="F25" t="s">
        <v>44</v>
      </c>
      <c r="G25">
        <v>7</v>
      </c>
    </row>
    <row r="26" spans="6:7">
      <c r="F26" t="s">
        <v>20</v>
      </c>
      <c r="G26">
        <v>6</v>
      </c>
    </row>
    <row r="27" spans="6:7">
      <c r="F27" t="s">
        <v>36</v>
      </c>
      <c r="G27">
        <v>6</v>
      </c>
    </row>
    <row r="28" spans="6:7">
      <c r="F28" t="s">
        <v>40</v>
      </c>
      <c r="G28">
        <v>6</v>
      </c>
    </row>
    <row r="29" spans="6:7">
      <c r="F29" t="s">
        <v>46</v>
      </c>
      <c r="G29">
        <v>6</v>
      </c>
    </row>
    <row r="30" spans="6:7">
      <c r="F30" t="s">
        <v>18</v>
      </c>
      <c r="G30">
        <v>5</v>
      </c>
    </row>
    <row r="31" spans="6:7">
      <c r="F31" t="s">
        <v>22</v>
      </c>
      <c r="G31">
        <v>5</v>
      </c>
    </row>
    <row r="32" spans="6:7">
      <c r="F32" t="s">
        <v>35</v>
      </c>
      <c r="G32">
        <v>3</v>
      </c>
    </row>
    <row r="33" spans="6:7">
      <c r="F33" t="s">
        <v>47</v>
      </c>
      <c r="G33">
        <v>2</v>
      </c>
    </row>
  </sheetData>
  <sortState xmlns:xlrd2="http://schemas.microsoft.com/office/spreadsheetml/2017/richdata2" ref="F2:H33">
    <sortCondition descending="1" ref="G2:G33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F532-E8F3-4B81-81B6-1BC35A7FEE4A}">
  <dimension ref="A1:D6"/>
  <sheetViews>
    <sheetView workbookViewId="0">
      <selection activeCell="J29" sqref="J29"/>
    </sheetView>
  </sheetViews>
  <sheetFormatPr defaultRowHeight="13.8"/>
  <sheetData>
    <row r="1" spans="1:4">
      <c r="A1" t="s">
        <v>10</v>
      </c>
      <c r="B1" t="s">
        <v>1</v>
      </c>
      <c r="C1" t="s">
        <v>121</v>
      </c>
    </row>
    <row r="2" spans="1:4">
      <c r="A2" t="s">
        <v>2</v>
      </c>
      <c r="B2" s="1">
        <v>10278</v>
      </c>
      <c r="C2" t="s">
        <v>122</v>
      </c>
      <c r="D2" s="2" t="s">
        <v>123</v>
      </c>
    </row>
    <row r="3" spans="1:4">
      <c r="A3" t="s">
        <v>4</v>
      </c>
      <c r="B3">
        <v>1544</v>
      </c>
    </row>
    <row r="5" spans="1:4">
      <c r="A5" t="s">
        <v>9</v>
      </c>
      <c r="B5" t="s">
        <v>166</v>
      </c>
    </row>
    <row r="6" spans="1:4">
      <c r="B6" s="19" t="s">
        <v>165</v>
      </c>
    </row>
  </sheetData>
  <phoneticPr fontId="1" type="noConversion"/>
  <hyperlinks>
    <hyperlink ref="B6" r:id="rId1" xr:uid="{3C32D0A9-6729-4D73-A8F5-0F56EB4A7249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E059-1BEF-48EB-8FAB-79BB9F899036}">
  <dimension ref="A1:O13"/>
  <sheetViews>
    <sheetView workbookViewId="0">
      <selection activeCell="J29" sqref="J29"/>
    </sheetView>
  </sheetViews>
  <sheetFormatPr defaultRowHeight="13.8"/>
  <sheetData>
    <row r="1" spans="1:15" ht="14.4">
      <c r="A1" s="3" t="s">
        <v>10</v>
      </c>
      <c r="B1" t="s">
        <v>1</v>
      </c>
      <c r="C1" t="s">
        <v>57</v>
      </c>
      <c r="D1" t="s">
        <v>58</v>
      </c>
      <c r="E1" t="s">
        <v>59</v>
      </c>
      <c r="G1" t="s">
        <v>45</v>
      </c>
      <c r="H1" t="s">
        <v>1</v>
      </c>
      <c r="M1" t="s">
        <v>60</v>
      </c>
      <c r="N1" t="s">
        <v>1</v>
      </c>
    </row>
    <row r="2" spans="1:15">
      <c r="A2" t="s">
        <v>49</v>
      </c>
      <c r="B2">
        <v>7793</v>
      </c>
      <c r="C2" t="str">
        <f>IMSUB(B2,B3)</f>
        <v>225</v>
      </c>
      <c r="D2" s="4">
        <f>C2/B2</f>
        <v>2.8872064673424867E-2</v>
      </c>
      <c r="E2" s="4">
        <f>(C2-C3)/C3</f>
        <v>-0.43181818181818182</v>
      </c>
      <c r="G2" t="s">
        <v>30</v>
      </c>
      <c r="H2">
        <v>1303</v>
      </c>
      <c r="I2" t="s">
        <v>125</v>
      </c>
      <c r="M2" t="s">
        <v>61</v>
      </c>
      <c r="N2">
        <v>232</v>
      </c>
      <c r="O2" t="s">
        <v>124</v>
      </c>
    </row>
    <row r="3" spans="1:15">
      <c r="A3" t="s">
        <v>50</v>
      </c>
      <c r="B3">
        <v>7568</v>
      </c>
      <c r="C3" t="str">
        <f t="shared" ref="C3:C9" si="0">IMSUB(B3,B4)</f>
        <v>396</v>
      </c>
      <c r="D3" s="4">
        <f t="shared" ref="D3:D8" si="1">C3/B3</f>
        <v>5.232558139534884E-2</v>
      </c>
      <c r="E3" s="4">
        <f t="shared" ref="E3:E8" si="2">(C3-C4)/C4</f>
        <v>-0.426917510853835</v>
      </c>
      <c r="G3" t="s">
        <v>14</v>
      </c>
      <c r="H3">
        <v>993</v>
      </c>
      <c r="M3" t="s">
        <v>62</v>
      </c>
      <c r="N3">
        <v>194</v>
      </c>
      <c r="O3" t="s">
        <v>126</v>
      </c>
    </row>
    <row r="4" spans="1:15">
      <c r="A4" t="s">
        <v>51</v>
      </c>
      <c r="B4">
        <v>7172</v>
      </c>
      <c r="C4" t="str">
        <f t="shared" si="0"/>
        <v>691</v>
      </c>
      <c r="D4" s="4">
        <f t="shared" si="1"/>
        <v>9.6346904629113217E-2</v>
      </c>
      <c r="E4" s="4">
        <f t="shared" si="2"/>
        <v>-0.40889649272882805</v>
      </c>
      <c r="G4" t="s">
        <v>29</v>
      </c>
      <c r="H4">
        <v>898</v>
      </c>
      <c r="M4" t="s">
        <v>64</v>
      </c>
      <c r="N4">
        <v>152</v>
      </c>
      <c r="O4" t="s">
        <v>127</v>
      </c>
    </row>
    <row r="5" spans="1:15">
      <c r="A5" t="s">
        <v>52</v>
      </c>
      <c r="B5">
        <v>6481</v>
      </c>
      <c r="C5" t="str">
        <f t="shared" si="0"/>
        <v>1169</v>
      </c>
      <c r="D5" s="4">
        <f t="shared" si="1"/>
        <v>0.18037339916679523</v>
      </c>
      <c r="E5" s="4">
        <f t="shared" si="2"/>
        <v>-0.10967250571210967</v>
      </c>
      <c r="G5" t="s">
        <v>26</v>
      </c>
      <c r="H5">
        <v>673</v>
      </c>
      <c r="M5" t="s">
        <v>65</v>
      </c>
      <c r="N5">
        <v>131</v>
      </c>
      <c r="O5" t="s">
        <v>128</v>
      </c>
    </row>
    <row r="6" spans="1:15">
      <c r="A6" t="s">
        <v>53</v>
      </c>
      <c r="B6">
        <v>5312</v>
      </c>
      <c r="C6" t="str">
        <f t="shared" si="0"/>
        <v>1313</v>
      </c>
      <c r="D6" s="4">
        <f t="shared" si="1"/>
        <v>0.2471762048192771</v>
      </c>
      <c r="E6" s="4">
        <f t="shared" si="2"/>
        <v>7.8882497945768279E-2</v>
      </c>
      <c r="G6" t="s">
        <v>13</v>
      </c>
      <c r="H6">
        <v>639</v>
      </c>
      <c r="M6" t="s">
        <v>66</v>
      </c>
      <c r="N6">
        <v>130</v>
      </c>
      <c r="O6" t="s">
        <v>129</v>
      </c>
    </row>
    <row r="7" spans="1:15">
      <c r="A7" t="s">
        <v>54</v>
      </c>
      <c r="B7">
        <v>3999</v>
      </c>
      <c r="C7" t="str">
        <f t="shared" si="0"/>
        <v>1217</v>
      </c>
      <c r="D7" s="4">
        <f t="shared" si="1"/>
        <v>0.3043260815203801</v>
      </c>
      <c r="E7" s="4">
        <f t="shared" si="2"/>
        <v>-4.0220820189274448E-2</v>
      </c>
      <c r="G7" t="s">
        <v>25</v>
      </c>
      <c r="H7">
        <v>527</v>
      </c>
      <c r="M7" t="s">
        <v>24</v>
      </c>
      <c r="N7">
        <v>128</v>
      </c>
    </row>
    <row r="8" spans="1:15">
      <c r="A8" t="s">
        <v>55</v>
      </c>
      <c r="B8">
        <v>2782</v>
      </c>
      <c r="C8" t="str">
        <f t="shared" si="0"/>
        <v>1268</v>
      </c>
      <c r="D8" s="4">
        <f t="shared" si="1"/>
        <v>0.45578720345075485</v>
      </c>
      <c r="E8" s="4">
        <f t="shared" si="2"/>
        <v>2.4456521739130435</v>
      </c>
      <c r="G8" t="s">
        <v>12</v>
      </c>
      <c r="H8">
        <v>383</v>
      </c>
      <c r="M8" t="s">
        <v>67</v>
      </c>
      <c r="N8">
        <v>123</v>
      </c>
      <c r="O8" t="s">
        <v>130</v>
      </c>
    </row>
    <row r="9" spans="1:15">
      <c r="A9" t="s">
        <v>56</v>
      </c>
      <c r="B9">
        <v>1514</v>
      </c>
      <c r="C9" t="str">
        <f t="shared" si="0"/>
        <v>368</v>
      </c>
      <c r="D9" s="4">
        <f>C9/B9</f>
        <v>0.24306472919418759</v>
      </c>
      <c r="E9" s="4"/>
      <c r="G9" t="s">
        <v>33</v>
      </c>
      <c r="H9">
        <v>333</v>
      </c>
      <c r="M9" t="s">
        <v>63</v>
      </c>
      <c r="N9">
        <v>122</v>
      </c>
      <c r="O9" t="s">
        <v>133</v>
      </c>
    </row>
    <row r="10" spans="1:15">
      <c r="A10" t="s">
        <v>11</v>
      </c>
      <c r="B10">
        <v>1146</v>
      </c>
      <c r="E10" s="4"/>
      <c r="G10" t="s">
        <v>41</v>
      </c>
      <c r="H10">
        <v>293</v>
      </c>
      <c r="M10" t="s">
        <v>68</v>
      </c>
      <c r="N10">
        <v>120</v>
      </c>
      <c r="O10" t="s">
        <v>131</v>
      </c>
    </row>
    <row r="11" spans="1:15">
      <c r="C11" t="s">
        <v>136</v>
      </c>
      <c r="G11" t="s">
        <v>31</v>
      </c>
      <c r="H11">
        <v>227</v>
      </c>
      <c r="M11" t="s">
        <v>69</v>
      </c>
      <c r="N11">
        <v>120</v>
      </c>
      <c r="O11" t="s">
        <v>132</v>
      </c>
    </row>
    <row r="13" spans="1:15">
      <c r="A13" t="s">
        <v>9</v>
      </c>
      <c r="B13" t="s">
        <v>167</v>
      </c>
    </row>
  </sheetData>
  <sortState xmlns:xlrd2="http://schemas.microsoft.com/office/spreadsheetml/2017/richdata2" ref="M2:O16">
    <sortCondition descending="1" ref="N2:N1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DB1B-F5FD-4170-8166-241BF2031C14}">
  <dimension ref="A1:Z22"/>
  <sheetViews>
    <sheetView workbookViewId="0">
      <selection activeCell="A19" sqref="A19"/>
    </sheetView>
  </sheetViews>
  <sheetFormatPr defaultRowHeight="13.8"/>
  <cols>
    <col min="1" max="1" width="8.44140625" customWidth="1"/>
    <col min="10" max="10" width="11.109375" bestFit="1" customWidth="1"/>
  </cols>
  <sheetData>
    <row r="1" spans="1:26" ht="13.2" customHeight="1">
      <c r="A1">
        <v>2022</v>
      </c>
      <c r="G1" t="s">
        <v>74</v>
      </c>
      <c r="H1" t="s">
        <v>75</v>
      </c>
      <c r="I1" t="s">
        <v>81</v>
      </c>
      <c r="R1" t="s">
        <v>105</v>
      </c>
      <c r="X1" t="s">
        <v>148</v>
      </c>
    </row>
    <row r="2" spans="1:26">
      <c r="A2" t="s">
        <v>159</v>
      </c>
      <c r="G2" t="s">
        <v>83</v>
      </c>
      <c r="H2" t="s">
        <v>76</v>
      </c>
      <c r="I2">
        <v>302</v>
      </c>
      <c r="J2" s="4">
        <f>I2/(I2+I3+I4+I5+I6)</f>
        <v>0.22587883320867613</v>
      </c>
      <c r="K2" t="s">
        <v>86</v>
      </c>
      <c r="R2" t="s">
        <v>87</v>
      </c>
      <c r="V2" t="s">
        <v>106</v>
      </c>
      <c r="X2" t="s">
        <v>149</v>
      </c>
      <c r="Y2" t="s">
        <v>150</v>
      </c>
      <c r="Z2" t="s">
        <v>151</v>
      </c>
    </row>
    <row r="3" spans="1:26">
      <c r="A3" t="s">
        <v>70</v>
      </c>
      <c r="H3" t="s">
        <v>77</v>
      </c>
      <c r="I3">
        <v>350</v>
      </c>
      <c r="J3" s="9">
        <f>I3/(I2+I3+I4+I5+I6)</f>
        <v>0.26178010471204188</v>
      </c>
      <c r="K3" t="s">
        <v>134</v>
      </c>
      <c r="R3" t="s">
        <v>23</v>
      </c>
      <c r="V3" t="s">
        <v>95</v>
      </c>
      <c r="Y3" t="s">
        <v>152</v>
      </c>
      <c r="Z3" s="15" t="s">
        <v>155</v>
      </c>
    </row>
    <row r="4" spans="1:26">
      <c r="A4" s="10" t="s">
        <v>71</v>
      </c>
      <c r="H4" t="s">
        <v>78</v>
      </c>
      <c r="I4">
        <v>217</v>
      </c>
      <c r="J4" s="4">
        <f>I4/(I2+I3++I5+I6)</f>
        <v>0.19375000000000001</v>
      </c>
      <c r="R4" t="s">
        <v>15</v>
      </c>
      <c r="V4" t="s">
        <v>96</v>
      </c>
      <c r="X4" t="s">
        <v>153</v>
      </c>
      <c r="Y4" t="s">
        <v>154</v>
      </c>
      <c r="Z4" t="s">
        <v>156</v>
      </c>
    </row>
    <row r="5" spans="1:26">
      <c r="A5" s="10" t="s">
        <v>73</v>
      </c>
      <c r="H5" t="s">
        <v>79</v>
      </c>
      <c r="I5">
        <v>206</v>
      </c>
      <c r="J5" s="4">
        <f>I5/(I2+I3+I4+I5+I6)</f>
        <v>0.15407629020194466</v>
      </c>
      <c r="R5" t="s">
        <v>17</v>
      </c>
      <c r="V5" t="s">
        <v>97</v>
      </c>
      <c r="Y5" t="s">
        <v>157</v>
      </c>
      <c r="Z5" t="s">
        <v>158</v>
      </c>
    </row>
    <row r="6" spans="1:26">
      <c r="A6" t="s">
        <v>72</v>
      </c>
      <c r="H6" t="s">
        <v>80</v>
      </c>
      <c r="I6">
        <v>262</v>
      </c>
      <c r="J6" s="4">
        <f>I6/(I2+I3+I4+I5+I6)</f>
        <v>0.19596110695587135</v>
      </c>
      <c r="R6" t="s">
        <v>88</v>
      </c>
      <c r="V6" t="s">
        <v>98</v>
      </c>
    </row>
    <row r="7" spans="1:26">
      <c r="G7" t="s">
        <v>82</v>
      </c>
      <c r="H7" t="s">
        <v>76</v>
      </c>
      <c r="I7">
        <v>154</v>
      </c>
      <c r="J7" s="4">
        <f>I7/738</f>
        <v>0.20867208672086721</v>
      </c>
      <c r="R7" t="s">
        <v>89</v>
      </c>
      <c r="V7" t="s">
        <v>99</v>
      </c>
    </row>
    <row r="8" spans="1:26">
      <c r="H8" t="s">
        <v>77</v>
      </c>
      <c r="I8">
        <v>198</v>
      </c>
      <c r="J8" s="9">
        <f t="shared" ref="J8:J11" si="0">I8/738</f>
        <v>0.26829268292682928</v>
      </c>
      <c r="R8" t="s">
        <v>90</v>
      </c>
      <c r="V8" t="s">
        <v>100</v>
      </c>
    </row>
    <row r="9" spans="1:26">
      <c r="H9" t="s">
        <v>78</v>
      </c>
      <c r="I9">
        <v>100</v>
      </c>
      <c r="J9" s="4">
        <f t="shared" si="0"/>
        <v>0.13550135501355012</v>
      </c>
      <c r="R9" t="s">
        <v>91</v>
      </c>
      <c r="V9" t="s">
        <v>101</v>
      </c>
    </row>
    <row r="10" spans="1:26">
      <c r="H10" t="s">
        <v>79</v>
      </c>
      <c r="I10">
        <v>186</v>
      </c>
      <c r="J10" s="4">
        <f t="shared" si="0"/>
        <v>0.25203252032520324</v>
      </c>
      <c r="R10" t="s">
        <v>92</v>
      </c>
      <c r="V10" t="s">
        <v>102</v>
      </c>
    </row>
    <row r="11" spans="1:26">
      <c r="H11" t="s">
        <v>80</v>
      </c>
      <c r="I11">
        <v>100</v>
      </c>
      <c r="J11" s="4">
        <f t="shared" si="0"/>
        <v>0.13550135501355012</v>
      </c>
      <c r="R11" t="s">
        <v>93</v>
      </c>
      <c r="V11" t="s">
        <v>103</v>
      </c>
    </row>
    <row r="12" spans="1:26">
      <c r="G12" t="s">
        <v>84</v>
      </c>
      <c r="H12" t="s">
        <v>76</v>
      </c>
      <c r="I12">
        <v>854</v>
      </c>
      <c r="J12" s="4">
        <f>I12/4308</f>
        <v>0.19823584029712163</v>
      </c>
      <c r="R12" t="s">
        <v>94</v>
      </c>
      <c r="V12" t="s">
        <v>104</v>
      </c>
    </row>
    <row r="13" spans="1:26">
      <c r="H13" t="s">
        <v>77</v>
      </c>
      <c r="I13">
        <v>991</v>
      </c>
      <c r="J13" s="4">
        <f t="shared" ref="J13:J16" si="1">I13/4308</f>
        <v>0.23003714020427113</v>
      </c>
    </row>
    <row r="14" spans="1:26">
      <c r="H14" t="s">
        <v>78</v>
      </c>
      <c r="I14">
        <v>371</v>
      </c>
      <c r="J14" s="4">
        <f t="shared" si="1"/>
        <v>8.611884865366759E-2</v>
      </c>
    </row>
    <row r="15" spans="1:26">
      <c r="H15" t="s">
        <v>79</v>
      </c>
      <c r="I15">
        <v>1340</v>
      </c>
      <c r="J15" s="9">
        <f t="shared" si="1"/>
        <v>0.31104921077065922</v>
      </c>
    </row>
    <row r="16" spans="1:26">
      <c r="H16" t="s">
        <v>80</v>
      </c>
      <c r="I16">
        <v>752</v>
      </c>
      <c r="J16" s="4">
        <f t="shared" si="1"/>
        <v>0.1745589600742804</v>
      </c>
    </row>
    <row r="17" spans="1:7">
      <c r="G17" t="s">
        <v>85</v>
      </c>
    </row>
    <row r="19" spans="1:7">
      <c r="A19" t="s">
        <v>147</v>
      </c>
    </row>
    <row r="20" spans="1:7">
      <c r="A20" s="19" t="s">
        <v>244</v>
      </c>
    </row>
    <row r="21" spans="1:7">
      <c r="A21" t="s">
        <v>168</v>
      </c>
    </row>
    <row r="22" spans="1:7">
      <c r="A22" t="s">
        <v>169</v>
      </c>
    </row>
  </sheetData>
  <phoneticPr fontId="1" type="noConversion"/>
  <hyperlinks>
    <hyperlink ref="A20" r:id="rId1" xr:uid="{76D718C0-88A8-4C3F-8C36-C19EBC35AB6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1CB5-3FA5-4133-B4C3-77F855A86E39}">
  <dimension ref="A1:G36"/>
  <sheetViews>
    <sheetView topLeftCell="A22" workbookViewId="0">
      <selection activeCell="J29" sqref="J29"/>
    </sheetView>
  </sheetViews>
  <sheetFormatPr defaultRowHeight="13.8"/>
  <sheetData>
    <row r="1" spans="1:7">
      <c r="A1" t="s">
        <v>9</v>
      </c>
      <c r="B1" t="s">
        <v>170</v>
      </c>
    </row>
    <row r="2" spans="1:7" ht="15.6">
      <c r="A2" t="s">
        <v>107</v>
      </c>
      <c r="B2">
        <v>473</v>
      </c>
      <c r="G2" s="5"/>
    </row>
    <row r="3" spans="1:7">
      <c r="A3" t="s">
        <v>12</v>
      </c>
      <c r="B3">
        <v>38</v>
      </c>
      <c r="C3" s="4">
        <f>B3/473</f>
        <v>8.0338266384778007E-2</v>
      </c>
    </row>
    <row r="4" spans="1:7">
      <c r="A4" t="s">
        <v>13</v>
      </c>
      <c r="B4">
        <v>36</v>
      </c>
      <c r="C4" s="4">
        <f t="shared" ref="C4:C36" si="0">B4/473</f>
        <v>7.6109936575052856E-2</v>
      </c>
    </row>
    <row r="5" spans="1:7">
      <c r="A5" t="s">
        <v>29</v>
      </c>
      <c r="B5">
        <v>33</v>
      </c>
      <c r="C5" s="4">
        <f t="shared" si="0"/>
        <v>6.9767441860465115E-2</v>
      </c>
    </row>
    <row r="6" spans="1:7">
      <c r="A6" t="s">
        <v>32</v>
      </c>
      <c r="B6">
        <v>32</v>
      </c>
      <c r="C6" s="4">
        <f t="shared" si="0"/>
        <v>6.765327695560254E-2</v>
      </c>
    </row>
    <row r="7" spans="1:7">
      <c r="A7" t="s">
        <v>30</v>
      </c>
      <c r="B7">
        <v>29</v>
      </c>
      <c r="C7" s="4">
        <f t="shared" si="0"/>
        <v>6.13107822410148E-2</v>
      </c>
    </row>
    <row r="8" spans="1:7">
      <c r="A8" t="s">
        <v>26</v>
      </c>
      <c r="B8">
        <v>25</v>
      </c>
      <c r="C8" s="4">
        <f t="shared" si="0"/>
        <v>5.2854122621564484E-2</v>
      </c>
    </row>
    <row r="9" spans="1:7">
      <c r="A9" t="s">
        <v>14</v>
      </c>
      <c r="B9">
        <v>25</v>
      </c>
      <c r="C9" s="4">
        <f t="shared" si="0"/>
        <v>5.2854122621564484E-2</v>
      </c>
    </row>
    <row r="10" spans="1:7">
      <c r="A10" t="s">
        <v>31</v>
      </c>
      <c r="B10">
        <v>25</v>
      </c>
      <c r="C10" s="4">
        <f t="shared" si="0"/>
        <v>5.2854122621564484E-2</v>
      </c>
    </row>
    <row r="11" spans="1:7">
      <c r="A11" t="s">
        <v>27</v>
      </c>
      <c r="B11">
        <v>24</v>
      </c>
      <c r="C11" s="4">
        <f t="shared" si="0"/>
        <v>5.0739957716701901E-2</v>
      </c>
    </row>
    <row r="12" spans="1:7">
      <c r="A12" t="s">
        <v>25</v>
      </c>
      <c r="B12">
        <v>22</v>
      </c>
      <c r="C12" s="4">
        <f t="shared" si="0"/>
        <v>4.6511627906976744E-2</v>
      </c>
    </row>
    <row r="13" spans="1:7">
      <c r="A13" t="s">
        <v>33</v>
      </c>
      <c r="B13">
        <v>21</v>
      </c>
      <c r="C13" s="4">
        <f t="shared" si="0"/>
        <v>4.4397463002114168E-2</v>
      </c>
    </row>
    <row r="14" spans="1:7">
      <c r="A14" t="s">
        <v>41</v>
      </c>
      <c r="B14">
        <v>18</v>
      </c>
      <c r="C14" s="4">
        <f t="shared" si="0"/>
        <v>3.8054968287526428E-2</v>
      </c>
    </row>
    <row r="15" spans="1:7">
      <c r="A15" t="s">
        <v>28</v>
      </c>
      <c r="B15">
        <v>17</v>
      </c>
      <c r="C15" s="4">
        <f t="shared" si="0"/>
        <v>3.5940803382663845E-2</v>
      </c>
    </row>
    <row r="16" spans="1:7">
      <c r="A16" t="s">
        <v>39</v>
      </c>
      <c r="B16">
        <v>17</v>
      </c>
      <c r="C16" s="4">
        <f t="shared" si="0"/>
        <v>3.5940803382663845E-2</v>
      </c>
    </row>
    <row r="17" spans="1:3">
      <c r="A17" t="s">
        <v>38</v>
      </c>
      <c r="B17">
        <v>14</v>
      </c>
      <c r="C17" s="4">
        <f t="shared" si="0"/>
        <v>2.9598308668076109E-2</v>
      </c>
    </row>
    <row r="18" spans="1:3">
      <c r="A18" t="s">
        <v>37</v>
      </c>
      <c r="B18">
        <v>11</v>
      </c>
      <c r="C18" s="4">
        <f t="shared" si="0"/>
        <v>2.3255813953488372E-2</v>
      </c>
    </row>
    <row r="19" spans="1:3">
      <c r="A19" t="s">
        <v>42</v>
      </c>
      <c r="B19">
        <v>11</v>
      </c>
      <c r="C19" s="4">
        <f t="shared" si="0"/>
        <v>2.3255813953488372E-2</v>
      </c>
    </row>
    <row r="20" spans="1:3">
      <c r="A20" t="s">
        <v>20</v>
      </c>
      <c r="B20">
        <v>10</v>
      </c>
      <c r="C20" s="4">
        <f t="shared" si="0"/>
        <v>2.1141649048625793E-2</v>
      </c>
    </row>
    <row r="21" spans="1:3">
      <c r="A21" t="s">
        <v>40</v>
      </c>
      <c r="B21">
        <v>9</v>
      </c>
      <c r="C21" s="4">
        <f t="shared" si="0"/>
        <v>1.9027484143763214E-2</v>
      </c>
    </row>
    <row r="22" spans="1:3">
      <c r="A22" t="s">
        <v>24</v>
      </c>
      <c r="B22">
        <v>7</v>
      </c>
      <c r="C22" s="4">
        <f t="shared" si="0"/>
        <v>1.4799154334038054E-2</v>
      </c>
    </row>
    <row r="23" spans="1:3">
      <c r="A23" t="s">
        <v>34</v>
      </c>
      <c r="B23">
        <v>7</v>
      </c>
      <c r="C23" s="4">
        <f t="shared" si="0"/>
        <v>1.4799154334038054E-2</v>
      </c>
    </row>
    <row r="24" spans="1:3">
      <c r="A24" t="s">
        <v>35</v>
      </c>
      <c r="B24">
        <v>6</v>
      </c>
      <c r="C24" s="4">
        <f t="shared" si="0"/>
        <v>1.2684989429175475E-2</v>
      </c>
    </row>
    <row r="25" spans="1:3">
      <c r="A25" t="s">
        <v>16</v>
      </c>
      <c r="B25">
        <v>5</v>
      </c>
      <c r="C25" s="4">
        <f t="shared" si="0"/>
        <v>1.0570824524312896E-2</v>
      </c>
    </row>
    <row r="26" spans="1:3">
      <c r="A26" t="s">
        <v>19</v>
      </c>
      <c r="B26">
        <v>5</v>
      </c>
      <c r="C26" s="4">
        <f t="shared" si="0"/>
        <v>1.0570824524312896E-2</v>
      </c>
    </row>
    <row r="27" spans="1:3">
      <c r="A27" t="s">
        <v>18</v>
      </c>
      <c r="B27">
        <v>4</v>
      </c>
      <c r="C27" s="4">
        <f t="shared" si="0"/>
        <v>8.4566596194503175E-3</v>
      </c>
    </row>
    <row r="28" spans="1:3">
      <c r="A28" t="s">
        <v>108</v>
      </c>
      <c r="B28">
        <v>4</v>
      </c>
      <c r="C28" s="4">
        <f t="shared" si="0"/>
        <v>8.4566596194503175E-3</v>
      </c>
    </row>
    <row r="29" spans="1:3">
      <c r="A29" t="s">
        <v>21</v>
      </c>
      <c r="B29">
        <v>3</v>
      </c>
      <c r="C29" s="4">
        <f t="shared" si="0"/>
        <v>6.3424947145877377E-3</v>
      </c>
    </row>
    <row r="30" spans="1:3">
      <c r="A30" t="s">
        <v>22</v>
      </c>
      <c r="B30">
        <v>3</v>
      </c>
      <c r="C30" s="4">
        <f t="shared" si="0"/>
        <v>6.3424947145877377E-3</v>
      </c>
    </row>
    <row r="31" spans="1:3">
      <c r="A31" t="s">
        <v>36</v>
      </c>
      <c r="B31">
        <v>3</v>
      </c>
      <c r="C31" s="4">
        <f t="shared" si="0"/>
        <v>6.3424947145877377E-3</v>
      </c>
    </row>
    <row r="32" spans="1:3">
      <c r="A32" t="s">
        <v>43</v>
      </c>
      <c r="B32">
        <v>3</v>
      </c>
      <c r="C32" s="4">
        <f t="shared" si="0"/>
        <v>6.3424947145877377E-3</v>
      </c>
    </row>
    <row r="33" spans="1:3">
      <c r="A33" t="s">
        <v>110</v>
      </c>
      <c r="B33">
        <v>2</v>
      </c>
      <c r="C33" s="4">
        <f t="shared" si="0"/>
        <v>4.2283298097251587E-3</v>
      </c>
    </row>
    <row r="34" spans="1:3">
      <c r="A34" t="s">
        <v>111</v>
      </c>
      <c r="B34">
        <v>2</v>
      </c>
      <c r="C34" s="4">
        <f t="shared" si="0"/>
        <v>4.2283298097251587E-3</v>
      </c>
    </row>
    <row r="35" spans="1:3">
      <c r="A35" t="s">
        <v>44</v>
      </c>
      <c r="B35">
        <v>1</v>
      </c>
      <c r="C35" s="4">
        <f t="shared" si="0"/>
        <v>2.1141649048625794E-3</v>
      </c>
    </row>
    <row r="36" spans="1:3">
      <c r="A36" t="s">
        <v>109</v>
      </c>
      <c r="B36">
        <v>1</v>
      </c>
      <c r="C36" s="4">
        <f t="shared" si="0"/>
        <v>2.1141649048625794E-3</v>
      </c>
    </row>
  </sheetData>
  <sortState xmlns:xlrd2="http://schemas.microsoft.com/office/spreadsheetml/2017/richdata2" ref="A1:B36">
    <sortCondition descending="1" ref="B1:B36"/>
  </sortState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B71B-B397-4EEE-9152-6BBDAC70CE70}">
  <dimension ref="A1:A3"/>
  <sheetViews>
    <sheetView workbookViewId="0">
      <selection activeCell="J29" sqref="J29"/>
    </sheetView>
  </sheetViews>
  <sheetFormatPr defaultRowHeight="13.8"/>
  <sheetData>
    <row r="1" spans="1:1" ht="19.2">
      <c r="A1" s="6" t="s">
        <v>112</v>
      </c>
    </row>
    <row r="2" spans="1:1" ht="15">
      <c r="A2" s="7" t="s">
        <v>113</v>
      </c>
    </row>
    <row r="3" spans="1:1">
      <c r="A3" t="s">
        <v>114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8C26-502A-42BB-8AB6-EB36AC826AEF}">
  <dimension ref="A1:AP5"/>
  <sheetViews>
    <sheetView workbookViewId="0">
      <selection sqref="A1:AO4"/>
    </sheetView>
  </sheetViews>
  <sheetFormatPr defaultRowHeight="13.8"/>
  <cols>
    <col min="2" max="5" width="9" bestFit="1" customWidth="1"/>
    <col min="6" max="7" width="10" bestFit="1" customWidth="1"/>
    <col min="8" max="9" width="9" bestFit="1" customWidth="1"/>
    <col min="10" max="10" width="10" bestFit="1" customWidth="1"/>
    <col min="11" max="41" width="9" bestFit="1" customWidth="1"/>
  </cols>
  <sheetData>
    <row r="1" spans="1:42">
      <c r="B1">
        <v>1983</v>
      </c>
      <c r="C1">
        <v>1984</v>
      </c>
      <c r="D1">
        <v>1985</v>
      </c>
      <c r="E1">
        <v>1986</v>
      </c>
      <c r="F1">
        <v>1987</v>
      </c>
      <c r="G1">
        <v>1988</v>
      </c>
      <c r="H1">
        <v>1989</v>
      </c>
      <c r="I1">
        <v>1990</v>
      </c>
      <c r="J1">
        <v>1991</v>
      </c>
      <c r="K1">
        <v>1992</v>
      </c>
      <c r="L1">
        <v>1993</v>
      </c>
      <c r="M1">
        <v>1994</v>
      </c>
      <c r="N1">
        <v>1995</v>
      </c>
      <c r="O1">
        <v>1996</v>
      </c>
      <c r="P1">
        <v>1997</v>
      </c>
      <c r="Q1">
        <v>1998</v>
      </c>
      <c r="R1">
        <v>1999</v>
      </c>
      <c r="S1">
        <v>2000</v>
      </c>
      <c r="T1">
        <v>2001</v>
      </c>
      <c r="U1">
        <v>2002</v>
      </c>
      <c r="V1">
        <v>2003</v>
      </c>
      <c r="W1">
        <v>2004</v>
      </c>
      <c r="X1">
        <v>2005</v>
      </c>
      <c r="Y1">
        <v>2006</v>
      </c>
      <c r="Z1">
        <v>2007</v>
      </c>
      <c r="AA1">
        <v>2008</v>
      </c>
      <c r="AB1">
        <v>2009</v>
      </c>
      <c r="AC1">
        <v>2010</v>
      </c>
      <c r="AD1">
        <v>2011</v>
      </c>
      <c r="AE1">
        <v>2012</v>
      </c>
      <c r="AF1">
        <v>2013</v>
      </c>
      <c r="AG1">
        <v>2014</v>
      </c>
      <c r="AH1">
        <v>2015</v>
      </c>
      <c r="AI1">
        <v>2016</v>
      </c>
      <c r="AJ1">
        <v>2017</v>
      </c>
      <c r="AK1">
        <v>2018</v>
      </c>
      <c r="AL1">
        <v>2019</v>
      </c>
      <c r="AM1">
        <v>2020</v>
      </c>
      <c r="AN1">
        <v>2021</v>
      </c>
      <c r="AO1">
        <v>2022</v>
      </c>
    </row>
    <row r="2" spans="1:42">
      <c r="A2" t="s">
        <v>83</v>
      </c>
      <c r="B2">
        <v>31</v>
      </c>
      <c r="C2">
        <v>36</v>
      </c>
      <c r="D2">
        <v>39</v>
      </c>
      <c r="E2">
        <v>16.5</v>
      </c>
      <c r="F2">
        <f>5.46</f>
        <v>5.46</v>
      </c>
      <c r="G2">
        <v>6</v>
      </c>
      <c r="H2">
        <v>19</v>
      </c>
      <c r="I2">
        <v>16</v>
      </c>
      <c r="J2">
        <v>20.3</v>
      </c>
      <c r="K2">
        <v>17</v>
      </c>
      <c r="M2">
        <v>16</v>
      </c>
      <c r="N2">
        <v>6.48</v>
      </c>
      <c r="P2">
        <v>18</v>
      </c>
      <c r="Q2">
        <f>5.39+7</f>
        <v>12.39</v>
      </c>
      <c r="U2">
        <v>15</v>
      </c>
      <c r="V2">
        <v>7.34</v>
      </c>
      <c r="W2">
        <f>8.1+3.4</f>
        <v>11.5</v>
      </c>
      <c r="X2">
        <v>11.43</v>
      </c>
      <c r="Z2">
        <v>10.59</v>
      </c>
      <c r="AA2">
        <v>11</v>
      </c>
      <c r="AE2">
        <v>7</v>
      </c>
      <c r="AF2">
        <v>3.55</v>
      </c>
      <c r="AG2">
        <v>7.35</v>
      </c>
      <c r="AH2">
        <v>5.56</v>
      </c>
      <c r="AI2">
        <v>12.5</v>
      </c>
      <c r="AJ2">
        <v>14</v>
      </c>
      <c r="AK2">
        <v>7.4</v>
      </c>
    </row>
    <row r="3" spans="1:42">
      <c r="A3" t="s">
        <v>160</v>
      </c>
      <c r="B3">
        <v>276</v>
      </c>
      <c r="C3">
        <v>253</v>
      </c>
      <c r="D3">
        <v>248</v>
      </c>
      <c r="E3">
        <v>215</v>
      </c>
      <c r="F3">
        <v>243</v>
      </c>
      <c r="G3">
        <v>250</v>
      </c>
      <c r="H3">
        <v>257</v>
      </c>
      <c r="I3">
        <v>254</v>
      </c>
      <c r="J3">
        <v>266</v>
      </c>
      <c r="K3">
        <v>220</v>
      </c>
      <c r="M3">
        <v>245</v>
      </c>
      <c r="N3">
        <v>250</v>
      </c>
      <c r="P3">
        <v>234</v>
      </c>
      <c r="Q3">
        <v>204</v>
      </c>
      <c r="U3">
        <v>234</v>
      </c>
      <c r="V3">
        <v>261</v>
      </c>
      <c r="W3">
        <v>253</v>
      </c>
      <c r="X3">
        <v>295</v>
      </c>
      <c r="Z3">
        <v>268</v>
      </c>
      <c r="AE3">
        <v>238</v>
      </c>
      <c r="AG3">
        <v>259</v>
      </c>
      <c r="AH3">
        <v>295</v>
      </c>
      <c r="AI3">
        <v>284</v>
      </c>
      <c r="AJ3">
        <v>289</v>
      </c>
      <c r="AK3">
        <v>234</v>
      </c>
    </row>
    <row r="4" spans="1:42">
      <c r="B4" s="16">
        <f>B2/B3</f>
        <v>0.11231884057971014</v>
      </c>
      <c r="C4" s="16">
        <f t="shared" ref="C4:V4" si="0">C2/C3</f>
        <v>0.14229249011857709</v>
      </c>
      <c r="D4" s="16">
        <f t="shared" si="0"/>
        <v>0.15725806451612903</v>
      </c>
      <c r="E4" s="16">
        <f t="shared" si="0"/>
        <v>7.6744186046511634E-2</v>
      </c>
      <c r="F4" s="16">
        <f t="shared" si="0"/>
        <v>2.2469135802469134E-2</v>
      </c>
      <c r="G4" s="16">
        <f t="shared" si="0"/>
        <v>2.4E-2</v>
      </c>
      <c r="H4" s="16">
        <f t="shared" si="0"/>
        <v>7.3929961089494164E-2</v>
      </c>
      <c r="I4" s="16">
        <f t="shared" si="0"/>
        <v>6.2992125984251968E-2</v>
      </c>
      <c r="J4" s="16">
        <f t="shared" si="0"/>
        <v>7.6315789473684212E-2</v>
      </c>
      <c r="K4" s="16">
        <f t="shared" si="0"/>
        <v>7.7272727272727271E-2</v>
      </c>
      <c r="L4" s="16">
        <v>0.1056</v>
      </c>
      <c r="M4" s="16">
        <f t="shared" si="0"/>
        <v>6.5306122448979598E-2</v>
      </c>
      <c r="N4" s="16">
        <f t="shared" si="0"/>
        <v>2.5920000000000002E-2</v>
      </c>
      <c r="O4" s="16">
        <v>7.2800000000000004E-2</v>
      </c>
      <c r="P4" s="16">
        <f t="shared" si="0"/>
        <v>7.6923076923076927E-2</v>
      </c>
      <c r="Q4" s="16">
        <f t="shared" si="0"/>
        <v>6.0735294117647061E-2</v>
      </c>
      <c r="R4" s="16">
        <v>5.2999999999999999E-2</v>
      </c>
      <c r="S4" s="16">
        <v>6.5000000000000002E-2</v>
      </c>
      <c r="T4" s="16">
        <v>0.105</v>
      </c>
      <c r="U4" s="16">
        <f t="shared" si="0"/>
        <v>6.4102564102564097E-2</v>
      </c>
      <c r="V4" s="16">
        <f t="shared" si="0"/>
        <v>2.8122605363984674E-2</v>
      </c>
      <c r="W4" s="16">
        <f t="shared" ref="W4" si="1">W2/W3</f>
        <v>4.5454545454545456E-2</v>
      </c>
      <c r="X4" s="16">
        <f t="shared" ref="X4" si="2">X2/X3</f>
        <v>3.8745762711864404E-2</v>
      </c>
      <c r="Y4" s="16">
        <v>4.8000000000000001E-2</v>
      </c>
      <c r="Z4" s="16">
        <f t="shared" ref="Z4" si="3">Z2/Z3</f>
        <v>3.9514925373134328E-2</v>
      </c>
      <c r="AA4" s="16">
        <v>2.5000000000000001E-2</v>
      </c>
      <c r="AB4" s="16">
        <v>3.3599999999999998E-2</v>
      </c>
      <c r="AC4" s="16">
        <v>3.1E-2</v>
      </c>
      <c r="AD4" s="16">
        <v>2.2200000000000001E-2</v>
      </c>
      <c r="AE4" s="16">
        <v>0.03</v>
      </c>
      <c r="AF4" s="16">
        <v>1.4500000000000001E-2</v>
      </c>
      <c r="AG4" s="16">
        <f t="shared" ref="AG4" si="4">AG2/AG3</f>
        <v>2.8378378378378376E-2</v>
      </c>
      <c r="AH4" s="16">
        <f t="shared" ref="AH4" si="5">AH2/AH3</f>
        <v>1.8847457627118643E-2</v>
      </c>
      <c r="AI4" s="16">
        <f t="shared" ref="AI4" si="6">AI2/AI3</f>
        <v>4.401408450704225E-2</v>
      </c>
      <c r="AJ4" s="16">
        <f t="shared" ref="AJ4" si="7">AJ2/AJ3</f>
        <v>4.8442906574394463E-2</v>
      </c>
      <c r="AK4" s="16">
        <f t="shared" ref="AK4" si="8">AK2/AK3</f>
        <v>3.1623931623931623E-2</v>
      </c>
      <c r="AL4" s="16">
        <v>2.9000000000000001E-2</v>
      </c>
      <c r="AM4" s="16">
        <v>3.1E-2</v>
      </c>
      <c r="AN4" s="16">
        <v>3.5999999999999997E-2</v>
      </c>
      <c r="AO4" s="16">
        <v>4.2999999999999997E-2</v>
      </c>
      <c r="AP4" s="4"/>
    </row>
    <row r="5" spans="1:42">
      <c r="A5" t="s">
        <v>161</v>
      </c>
      <c r="B5" s="17"/>
      <c r="C5" s="17"/>
      <c r="D5" s="17"/>
      <c r="E5" s="17"/>
      <c r="F5" s="18">
        <v>0.11</v>
      </c>
      <c r="G5" s="18">
        <v>0.16389999999999999</v>
      </c>
      <c r="H5" s="17"/>
      <c r="I5" s="17"/>
      <c r="J5" s="17" t="s">
        <v>162</v>
      </c>
      <c r="K5" s="17"/>
      <c r="L5" s="17"/>
      <c r="M5" s="17"/>
      <c r="N5" s="18">
        <v>4.4499999999999998E-2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96CC-8B9F-4CE3-A0C4-5381A8427BF6}">
  <dimension ref="A1:T33"/>
  <sheetViews>
    <sheetView workbookViewId="0">
      <selection activeCell="J29" sqref="J29"/>
    </sheetView>
  </sheetViews>
  <sheetFormatPr defaultRowHeight="13.8"/>
  <sheetData>
    <row r="1" spans="1:20">
      <c r="A1" t="s">
        <v>45</v>
      </c>
      <c r="B1" t="s">
        <v>137</v>
      </c>
      <c r="D1" t="s">
        <v>139</v>
      </c>
      <c r="E1">
        <v>473</v>
      </c>
      <c r="H1" t="s">
        <v>45</v>
      </c>
      <c r="I1" t="s">
        <v>138</v>
      </c>
      <c r="K1" t="s">
        <v>105</v>
      </c>
      <c r="P1" t="s">
        <v>140</v>
      </c>
      <c r="T1" t="s">
        <v>146</v>
      </c>
    </row>
    <row r="2" spans="1:20">
      <c r="A2" s="12" t="s">
        <v>12</v>
      </c>
      <c r="B2" s="12">
        <v>38</v>
      </c>
      <c r="D2" s="12" t="s">
        <v>12</v>
      </c>
      <c r="E2" s="12">
        <v>38</v>
      </c>
      <c r="F2" s="13">
        <f>E2/473</f>
        <v>8.0338266384778007E-2</v>
      </c>
      <c r="G2" s="14"/>
      <c r="H2" s="12" t="s">
        <v>30</v>
      </c>
      <c r="I2" s="12">
        <v>1303</v>
      </c>
      <c r="K2" t="s">
        <v>87</v>
      </c>
      <c r="P2" t="s">
        <v>141</v>
      </c>
      <c r="R2" s="12" t="s">
        <v>14</v>
      </c>
      <c r="T2" s="12" t="s">
        <v>30</v>
      </c>
    </row>
    <row r="3" spans="1:20">
      <c r="A3" s="12" t="s">
        <v>13</v>
      </c>
      <c r="B3" s="12">
        <v>36</v>
      </c>
      <c r="D3" s="12" t="s">
        <v>13</v>
      </c>
      <c r="E3" s="12">
        <v>36</v>
      </c>
      <c r="F3" s="13">
        <f t="shared" ref="F3:F10" si="0">E3/473</f>
        <v>7.6109936575052856E-2</v>
      </c>
      <c r="G3" s="14"/>
      <c r="H3" s="12" t="s">
        <v>14</v>
      </c>
      <c r="I3" s="12">
        <v>993</v>
      </c>
      <c r="K3" t="s">
        <v>23</v>
      </c>
      <c r="P3" t="s">
        <v>142</v>
      </c>
      <c r="R3" s="12" t="s">
        <v>31</v>
      </c>
      <c r="T3" s="12" t="s">
        <v>14</v>
      </c>
    </row>
    <row r="4" spans="1:20">
      <c r="A4" s="12" t="s">
        <v>14</v>
      </c>
      <c r="B4" s="12">
        <v>31</v>
      </c>
      <c r="D4" s="12" t="s">
        <v>29</v>
      </c>
      <c r="E4" s="12">
        <v>33</v>
      </c>
      <c r="F4" s="13">
        <f t="shared" si="0"/>
        <v>6.9767441860465115E-2</v>
      </c>
      <c r="G4" s="14"/>
      <c r="H4" s="12" t="s">
        <v>29</v>
      </c>
      <c r="I4" s="12">
        <v>898</v>
      </c>
      <c r="K4" t="s">
        <v>15</v>
      </c>
      <c r="P4" t="s">
        <v>143</v>
      </c>
      <c r="R4" s="12" t="s">
        <v>14</v>
      </c>
      <c r="T4" t="s">
        <v>33</v>
      </c>
    </row>
    <row r="5" spans="1:20">
      <c r="A5" s="12" t="s">
        <v>29</v>
      </c>
      <c r="B5" s="12">
        <v>28</v>
      </c>
      <c r="D5" t="s">
        <v>32</v>
      </c>
      <c r="E5">
        <v>32</v>
      </c>
      <c r="F5" s="4">
        <f t="shared" si="0"/>
        <v>6.765327695560254E-2</v>
      </c>
      <c r="G5" s="14"/>
      <c r="H5" t="s">
        <v>26</v>
      </c>
      <c r="I5">
        <v>673</v>
      </c>
      <c r="K5" t="s">
        <v>17</v>
      </c>
      <c r="P5" t="s">
        <v>144</v>
      </c>
      <c r="R5" s="12" t="s">
        <v>12</v>
      </c>
      <c r="T5" t="s">
        <v>25</v>
      </c>
    </row>
    <row r="6" spans="1:20">
      <c r="A6" t="s">
        <v>28</v>
      </c>
      <c r="B6">
        <v>26</v>
      </c>
      <c r="D6" s="12" t="s">
        <v>30</v>
      </c>
      <c r="E6" s="12">
        <v>29</v>
      </c>
      <c r="F6" s="13">
        <f t="shared" si="0"/>
        <v>6.13107822410148E-2</v>
      </c>
      <c r="G6" s="14"/>
      <c r="H6" s="12" t="s">
        <v>13</v>
      </c>
      <c r="I6" s="12">
        <v>639</v>
      </c>
      <c r="K6" t="s">
        <v>88</v>
      </c>
      <c r="P6" t="s">
        <v>145</v>
      </c>
      <c r="R6" s="12" t="s">
        <v>30</v>
      </c>
      <c r="T6" s="12" t="s">
        <v>26</v>
      </c>
    </row>
    <row r="7" spans="1:20">
      <c r="A7" s="12" t="s">
        <v>31</v>
      </c>
      <c r="B7" s="12">
        <v>26</v>
      </c>
      <c r="D7" s="12" t="s">
        <v>26</v>
      </c>
      <c r="E7" s="12">
        <v>25</v>
      </c>
      <c r="F7" s="13">
        <f t="shared" si="0"/>
        <v>5.2854122621564484E-2</v>
      </c>
      <c r="G7" s="14"/>
      <c r="H7" t="s">
        <v>25</v>
      </c>
      <c r="I7">
        <v>527</v>
      </c>
      <c r="K7" t="s">
        <v>89</v>
      </c>
    </row>
    <row r="8" spans="1:20">
      <c r="A8" s="12" t="s">
        <v>41</v>
      </c>
      <c r="B8" s="12">
        <v>26</v>
      </c>
      <c r="D8" s="12" t="s">
        <v>14</v>
      </c>
      <c r="E8" s="12">
        <v>25</v>
      </c>
      <c r="F8" s="13">
        <f t="shared" si="0"/>
        <v>5.2854122621564484E-2</v>
      </c>
      <c r="G8" s="14"/>
      <c r="H8" s="12" t="s">
        <v>12</v>
      </c>
      <c r="I8" s="12">
        <v>383</v>
      </c>
      <c r="K8" t="s">
        <v>90</v>
      </c>
    </row>
    <row r="9" spans="1:20">
      <c r="A9" s="12" t="s">
        <v>30</v>
      </c>
      <c r="B9" s="12">
        <v>25</v>
      </c>
      <c r="D9" s="12" t="s">
        <v>31</v>
      </c>
      <c r="E9" s="12">
        <v>25</v>
      </c>
      <c r="F9" s="13">
        <f t="shared" si="0"/>
        <v>5.2854122621564484E-2</v>
      </c>
      <c r="G9" s="14"/>
      <c r="H9" t="s">
        <v>33</v>
      </c>
      <c r="I9">
        <v>333</v>
      </c>
      <c r="K9" s="12" t="s">
        <v>91</v>
      </c>
    </row>
    <row r="10" spans="1:20">
      <c r="A10" t="s">
        <v>27</v>
      </c>
      <c r="B10">
        <v>23</v>
      </c>
      <c r="D10" t="s">
        <v>27</v>
      </c>
      <c r="E10">
        <v>24</v>
      </c>
      <c r="F10" s="4">
        <f t="shared" si="0"/>
        <v>5.0739957716701901E-2</v>
      </c>
      <c r="G10" s="14"/>
      <c r="H10" s="12" t="s">
        <v>41</v>
      </c>
      <c r="I10" s="12">
        <v>293</v>
      </c>
      <c r="K10" t="s">
        <v>92</v>
      </c>
    </row>
    <row r="11" spans="1:20">
      <c r="A11" t="s">
        <v>34</v>
      </c>
      <c r="B11">
        <v>21</v>
      </c>
      <c r="H11" s="12" t="s">
        <v>31</v>
      </c>
      <c r="I11" s="12">
        <v>227</v>
      </c>
      <c r="K11" t="s">
        <v>93</v>
      </c>
    </row>
    <row r="12" spans="1:20">
      <c r="A12" t="s">
        <v>25</v>
      </c>
      <c r="B12">
        <v>20</v>
      </c>
      <c r="H12" s="12" t="s">
        <v>94</v>
      </c>
    </row>
    <row r="13" spans="1:20">
      <c r="A13" t="s">
        <v>32</v>
      </c>
      <c r="B13">
        <v>20</v>
      </c>
    </row>
    <row r="14" spans="1:20">
      <c r="A14" t="s">
        <v>39</v>
      </c>
      <c r="B14">
        <v>18</v>
      </c>
    </row>
    <row r="15" spans="1:20">
      <c r="A15" t="s">
        <v>26</v>
      </c>
      <c r="B15">
        <v>16</v>
      </c>
    </row>
    <row r="16" spans="1:20">
      <c r="A16" t="s">
        <v>33</v>
      </c>
      <c r="B16">
        <v>16</v>
      </c>
    </row>
    <row r="17" spans="1:2">
      <c r="A17" t="s">
        <v>19</v>
      </c>
      <c r="B17">
        <v>14</v>
      </c>
    </row>
    <row r="18" spans="1:2">
      <c r="A18" t="s">
        <v>42</v>
      </c>
      <c r="B18">
        <v>13</v>
      </c>
    </row>
    <row r="19" spans="1:2">
      <c r="A19" t="s">
        <v>37</v>
      </c>
      <c r="B19">
        <v>11</v>
      </c>
    </row>
    <row r="20" spans="1:2">
      <c r="A20" t="s">
        <v>38</v>
      </c>
      <c r="B20">
        <v>10</v>
      </c>
    </row>
    <row r="21" spans="1:2">
      <c r="A21" t="s">
        <v>24</v>
      </c>
      <c r="B21">
        <v>9</v>
      </c>
    </row>
    <row r="22" spans="1:2">
      <c r="A22" t="s">
        <v>16</v>
      </c>
      <c r="B22">
        <v>8</v>
      </c>
    </row>
    <row r="23" spans="1:2">
      <c r="A23" t="s">
        <v>21</v>
      </c>
      <c r="B23">
        <v>8</v>
      </c>
    </row>
    <row r="24" spans="1:2">
      <c r="A24" t="s">
        <v>43</v>
      </c>
      <c r="B24">
        <v>7</v>
      </c>
    </row>
    <row r="25" spans="1:2">
      <c r="A25" t="s">
        <v>44</v>
      </c>
      <c r="B25">
        <v>7</v>
      </c>
    </row>
    <row r="26" spans="1:2">
      <c r="A26" t="s">
        <v>20</v>
      </c>
      <c r="B26">
        <v>6</v>
      </c>
    </row>
    <row r="27" spans="1:2">
      <c r="A27" t="s">
        <v>36</v>
      </c>
      <c r="B27">
        <v>6</v>
      </c>
    </row>
    <row r="28" spans="1:2">
      <c r="A28" t="s">
        <v>40</v>
      </c>
      <c r="B28">
        <v>6</v>
      </c>
    </row>
    <row r="29" spans="1:2">
      <c r="A29" t="s">
        <v>46</v>
      </c>
      <c r="B29">
        <v>6</v>
      </c>
    </row>
    <row r="30" spans="1:2">
      <c r="A30" t="s">
        <v>18</v>
      </c>
      <c r="B30">
        <v>5</v>
      </c>
    </row>
    <row r="31" spans="1:2">
      <c r="A31" t="s">
        <v>22</v>
      </c>
      <c r="B31">
        <v>5</v>
      </c>
    </row>
    <row r="32" spans="1:2">
      <c r="A32" t="s">
        <v>35</v>
      </c>
      <c r="B32">
        <v>3</v>
      </c>
    </row>
    <row r="33" spans="1:2">
      <c r="A33" t="s">
        <v>47</v>
      </c>
      <c r="B3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1BCD-4810-41DD-8586-809ADBE5AED0}">
  <dimension ref="A1:H13"/>
  <sheetViews>
    <sheetView workbookViewId="0">
      <selection activeCell="C17" sqref="C17"/>
    </sheetView>
  </sheetViews>
  <sheetFormatPr defaultRowHeight="13.8"/>
  <cols>
    <col min="1" max="1" width="14.33203125" customWidth="1"/>
    <col min="2" max="2" width="60" customWidth="1"/>
    <col min="3" max="3" width="12.77734375" customWidth="1"/>
    <col min="4" max="4" width="20.88671875" customWidth="1"/>
  </cols>
  <sheetData>
    <row r="1" spans="1:8">
      <c r="A1" t="s">
        <v>0</v>
      </c>
      <c r="B1" t="s">
        <v>193</v>
      </c>
      <c r="D1" t="s">
        <v>194</v>
      </c>
      <c r="E1" t="s">
        <v>202</v>
      </c>
      <c r="F1" t="s">
        <v>197</v>
      </c>
      <c r="G1" t="s">
        <v>195</v>
      </c>
      <c r="H1" t="s">
        <v>196</v>
      </c>
    </row>
    <row r="2" spans="1:8">
      <c r="A2" t="s">
        <v>171</v>
      </c>
      <c r="B2" t="s">
        <v>172</v>
      </c>
      <c r="D2">
        <v>363888</v>
      </c>
      <c r="F2" s="15">
        <v>2.3250999999999999</v>
      </c>
      <c r="G2" s="15">
        <v>1.5713999999999999</v>
      </c>
      <c r="H2" t="s">
        <v>198</v>
      </c>
    </row>
    <row r="3" spans="1:8">
      <c r="A3" t="s">
        <v>174</v>
      </c>
      <c r="B3" t="s">
        <v>173</v>
      </c>
      <c r="D3">
        <v>881770</v>
      </c>
      <c r="F3" s="15"/>
      <c r="G3" s="15"/>
    </row>
    <row r="4" spans="1:8">
      <c r="A4" t="s">
        <v>175</v>
      </c>
      <c r="B4" t="s">
        <v>176</v>
      </c>
      <c r="D4">
        <v>138606</v>
      </c>
    </row>
    <row r="5" spans="1:8">
      <c r="A5" t="s">
        <v>177</v>
      </c>
      <c r="B5" t="s">
        <v>178</v>
      </c>
      <c r="D5">
        <v>121999</v>
      </c>
      <c r="F5" s="15">
        <v>0.63759999999999994</v>
      </c>
      <c r="G5" s="15">
        <v>0.36109999999999998</v>
      </c>
      <c r="H5" t="s">
        <v>199</v>
      </c>
    </row>
    <row r="6" spans="1:8">
      <c r="A6" t="s">
        <v>179</v>
      </c>
      <c r="B6" t="s">
        <v>180</v>
      </c>
      <c r="D6">
        <v>140907</v>
      </c>
    </row>
    <row r="7" spans="1:8">
      <c r="A7" t="s">
        <v>181</v>
      </c>
      <c r="B7" t="s">
        <v>182</v>
      </c>
      <c r="D7">
        <v>182445</v>
      </c>
      <c r="F7" s="15"/>
    </row>
    <row r="8" spans="1:8">
      <c r="A8" t="s">
        <v>183</v>
      </c>
      <c r="B8" t="s">
        <v>184</v>
      </c>
      <c r="D8">
        <v>200285</v>
      </c>
    </row>
    <row r="9" spans="1:8">
      <c r="A9" t="s">
        <v>186</v>
      </c>
      <c r="B9" t="s">
        <v>185</v>
      </c>
      <c r="D9">
        <v>166383</v>
      </c>
      <c r="F9" s="15">
        <v>1.1415</v>
      </c>
      <c r="H9" t="s">
        <v>200</v>
      </c>
    </row>
    <row r="10" spans="1:8">
      <c r="A10" t="s">
        <v>187</v>
      </c>
      <c r="B10" t="s">
        <v>188</v>
      </c>
      <c r="D10">
        <v>102512</v>
      </c>
    </row>
    <row r="11" spans="1:8">
      <c r="A11" t="s">
        <v>190</v>
      </c>
      <c r="B11" t="s">
        <v>189</v>
      </c>
      <c r="D11">
        <v>127720</v>
      </c>
      <c r="F11" s="15">
        <v>1.0543</v>
      </c>
      <c r="H11" t="s">
        <v>201</v>
      </c>
    </row>
    <row r="12" spans="1:8">
      <c r="A12" t="s">
        <v>191</v>
      </c>
      <c r="B12" t="s">
        <v>192</v>
      </c>
      <c r="D12">
        <v>223238</v>
      </c>
    </row>
    <row r="13" spans="1:8">
      <c r="A13" t="s">
        <v>204</v>
      </c>
      <c r="B13" t="s">
        <v>203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6306-C830-47B7-A972-253F7194D396}">
  <dimension ref="A1:H33"/>
  <sheetViews>
    <sheetView workbookViewId="0">
      <selection activeCell="G19" sqref="G19"/>
    </sheetView>
  </sheetViews>
  <sheetFormatPr defaultRowHeight="13.8"/>
  <sheetData>
    <row r="1" spans="1:8">
      <c r="A1" t="s">
        <v>45</v>
      </c>
      <c r="B1" t="s">
        <v>205</v>
      </c>
      <c r="D1" t="s">
        <v>207</v>
      </c>
      <c r="E1" t="s">
        <v>208</v>
      </c>
      <c r="G1" t="s">
        <v>215</v>
      </c>
      <c r="H1" t="s">
        <v>214</v>
      </c>
    </row>
    <row r="2" spans="1:8">
      <c r="A2" t="s">
        <v>30</v>
      </c>
      <c r="B2" s="15">
        <v>0.16070000000000001</v>
      </c>
      <c r="D2" t="s">
        <v>209</v>
      </c>
      <c r="E2" s="15">
        <v>8.5999999999999993E-2</v>
      </c>
      <c r="G2" s="20"/>
    </row>
    <row r="3" spans="1:8">
      <c r="A3" t="s">
        <v>25</v>
      </c>
      <c r="B3" s="15">
        <v>7.7200000000000005E-2</v>
      </c>
      <c r="D3" t="s">
        <v>210</v>
      </c>
      <c r="E3" s="15">
        <v>0.1444</v>
      </c>
    </row>
    <row r="4" spans="1:8">
      <c r="A4" t="s">
        <v>33</v>
      </c>
      <c r="B4" s="15">
        <v>7.5999999999999998E-2</v>
      </c>
      <c r="D4" t="s">
        <v>211</v>
      </c>
      <c r="E4" s="15">
        <v>0.22739999999999999</v>
      </c>
    </row>
    <row r="5" spans="1:8">
      <c r="A5" t="s">
        <v>26</v>
      </c>
      <c r="B5" s="15">
        <v>7.4399999999999994E-2</v>
      </c>
      <c r="D5" t="s">
        <v>212</v>
      </c>
      <c r="E5" s="15">
        <v>0.19070000000000001</v>
      </c>
    </row>
    <row r="6" spans="1:8">
      <c r="A6" t="s">
        <v>14</v>
      </c>
      <c r="B6" s="15">
        <v>6.7100000000000007E-2</v>
      </c>
      <c r="D6" t="s">
        <v>213</v>
      </c>
      <c r="E6" s="15">
        <v>0.35149999999999998</v>
      </c>
    </row>
    <row r="7" spans="1:8">
      <c r="A7" t="s">
        <v>29</v>
      </c>
      <c r="B7" s="15">
        <v>6.5799999999999997E-2</v>
      </c>
    </row>
    <row r="8" spans="1:8">
      <c r="A8" t="s">
        <v>41</v>
      </c>
      <c r="B8" s="15">
        <v>5.0500000000000003E-2</v>
      </c>
    </row>
    <row r="9" spans="1:8">
      <c r="A9" t="s">
        <v>13</v>
      </c>
      <c r="B9" s="15">
        <v>4.9599999999999998E-2</v>
      </c>
    </row>
    <row r="10" spans="1:8">
      <c r="A10" t="s">
        <v>31</v>
      </c>
      <c r="B10" s="15">
        <v>3.9199999999999999E-2</v>
      </c>
    </row>
    <row r="11" spans="1:8">
      <c r="A11" t="s">
        <v>32</v>
      </c>
      <c r="B11" s="15">
        <v>3.8100000000000002E-2</v>
      </c>
    </row>
    <row r="12" spans="1:8">
      <c r="A12" t="s">
        <v>12</v>
      </c>
      <c r="B12" s="15">
        <v>3.3599999999999998E-2</v>
      </c>
    </row>
    <row r="13" spans="1:8">
      <c r="A13" t="s">
        <v>27</v>
      </c>
      <c r="B13" s="15">
        <v>3.3399999999999999E-2</v>
      </c>
    </row>
    <row r="14" spans="1:8">
      <c r="A14" t="s">
        <v>28</v>
      </c>
      <c r="B14" s="15">
        <v>2.75E-2</v>
      </c>
    </row>
    <row r="15" spans="1:8">
      <c r="A15" t="s">
        <v>37</v>
      </c>
      <c r="B15" s="15">
        <v>2.7E-2</v>
      </c>
    </row>
    <row r="16" spans="1:8">
      <c r="A16" t="s">
        <v>16</v>
      </c>
      <c r="B16" s="15">
        <v>2.0199999999999999E-2</v>
      </c>
    </row>
    <row r="17" spans="1:2">
      <c r="A17" t="s">
        <v>24</v>
      </c>
      <c r="B17" s="15">
        <v>1.9E-2</v>
      </c>
    </row>
    <row r="18" spans="1:2">
      <c r="A18" t="s">
        <v>39</v>
      </c>
      <c r="B18" s="15">
        <v>1.6500000000000001E-2</v>
      </c>
    </row>
    <row r="19" spans="1:2">
      <c r="A19" t="s">
        <v>34</v>
      </c>
      <c r="B19" s="15">
        <v>1.5699999999999999E-2</v>
      </c>
    </row>
    <row r="20" spans="1:2">
      <c r="A20" t="s">
        <v>38</v>
      </c>
      <c r="B20" s="15">
        <v>1.3100000000000001E-2</v>
      </c>
    </row>
    <row r="21" spans="1:2">
      <c r="A21" t="s">
        <v>20</v>
      </c>
      <c r="B21" s="15">
        <v>1.2800000000000001E-2</v>
      </c>
    </row>
    <row r="22" spans="1:2">
      <c r="A22" t="s">
        <v>46</v>
      </c>
      <c r="B22" s="15">
        <v>1.26E-2</v>
      </c>
    </row>
    <row r="23" spans="1:2">
      <c r="A23" t="s">
        <v>42</v>
      </c>
      <c r="B23" s="15">
        <v>1.2200000000000001E-2</v>
      </c>
    </row>
    <row r="24" spans="1:2">
      <c r="A24" t="s">
        <v>18</v>
      </c>
      <c r="B24" s="15">
        <v>1.0200000000000001E-2</v>
      </c>
    </row>
    <row r="25" spans="1:2">
      <c r="A25" t="s">
        <v>36</v>
      </c>
      <c r="B25" s="15">
        <v>9.9000000000000008E-3</v>
      </c>
    </row>
    <row r="26" spans="1:2">
      <c r="A26" t="s">
        <v>35</v>
      </c>
      <c r="B26" s="15">
        <v>8.8999999999999999E-3</v>
      </c>
    </row>
    <row r="27" spans="1:2">
      <c r="A27" t="s">
        <v>19</v>
      </c>
      <c r="B27" s="15">
        <v>7.9000000000000008E-3</v>
      </c>
    </row>
    <row r="28" spans="1:2">
      <c r="A28" t="s">
        <v>22</v>
      </c>
      <c r="B28" s="15">
        <v>7.6E-3</v>
      </c>
    </row>
    <row r="29" spans="1:2">
      <c r="A29" t="s">
        <v>21</v>
      </c>
      <c r="B29" s="15">
        <v>6.1999999999999998E-3</v>
      </c>
    </row>
    <row r="30" spans="1:2">
      <c r="A30" t="s">
        <v>44</v>
      </c>
      <c r="B30" s="15">
        <v>3.0999999999999999E-3</v>
      </c>
    </row>
    <row r="31" spans="1:2">
      <c r="A31" t="s">
        <v>40</v>
      </c>
      <c r="B31" s="15">
        <v>2.0999999999999999E-3</v>
      </c>
    </row>
    <row r="32" spans="1:2">
      <c r="A32" t="s">
        <v>43</v>
      </c>
      <c r="B32" t="s">
        <v>206</v>
      </c>
    </row>
    <row r="33" spans="2:2">
      <c r="B33" s="1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0EF0-5DF3-452E-8614-9A8C3280D04A}">
  <dimension ref="A1:D11"/>
  <sheetViews>
    <sheetView workbookViewId="0">
      <selection activeCell="D8" sqref="A1:D8"/>
    </sheetView>
  </sheetViews>
  <sheetFormatPr defaultRowHeight="13.8"/>
  <cols>
    <col min="1" max="1" width="25.109375" customWidth="1"/>
    <col min="2" max="2" width="32.77734375" customWidth="1"/>
    <col min="3" max="3" width="25.33203125" customWidth="1"/>
  </cols>
  <sheetData>
    <row r="1" spans="1:4">
      <c r="A1" t="s">
        <v>216</v>
      </c>
      <c r="B1" t="s">
        <v>217</v>
      </c>
      <c r="C1" t="s">
        <v>218</v>
      </c>
      <c r="D1" t="s">
        <v>219</v>
      </c>
    </row>
    <row r="2" spans="1:4">
      <c r="A2" t="s">
        <v>171</v>
      </c>
      <c r="C2" t="s">
        <v>229</v>
      </c>
      <c r="D2">
        <v>131769</v>
      </c>
    </row>
    <row r="3" spans="1:4">
      <c r="A3" t="s">
        <v>220</v>
      </c>
      <c r="B3" t="s">
        <v>221</v>
      </c>
      <c r="D3">
        <v>519940</v>
      </c>
    </row>
    <row r="4" spans="1:4">
      <c r="A4" t="s">
        <v>223</v>
      </c>
      <c r="B4" t="s">
        <v>222</v>
      </c>
      <c r="D4">
        <v>353890</v>
      </c>
    </row>
    <row r="5" spans="1:4">
      <c r="A5" t="s">
        <v>224</v>
      </c>
      <c r="B5" t="s">
        <v>225</v>
      </c>
      <c r="D5">
        <v>259781</v>
      </c>
    </row>
    <row r="6" spans="1:4">
      <c r="A6" t="s">
        <v>226</v>
      </c>
      <c r="B6" t="s">
        <v>227</v>
      </c>
      <c r="D6">
        <v>350182</v>
      </c>
    </row>
    <row r="7" spans="1:4">
      <c r="A7" t="s">
        <v>228</v>
      </c>
      <c r="C7" t="s">
        <v>218</v>
      </c>
      <c r="D7">
        <v>86544</v>
      </c>
    </row>
    <row r="8" spans="1:4">
      <c r="A8" t="s">
        <v>230</v>
      </c>
      <c r="C8" t="s">
        <v>229</v>
      </c>
      <c r="D8">
        <v>67771</v>
      </c>
    </row>
    <row r="9" spans="1:4">
      <c r="A9" t="s">
        <v>197</v>
      </c>
      <c r="B9" s="15">
        <v>0.58360000000000001</v>
      </c>
      <c r="C9" s="15">
        <v>-0.1802</v>
      </c>
    </row>
    <row r="10" spans="1:4">
      <c r="A10" t="s">
        <v>195</v>
      </c>
      <c r="B10" s="15">
        <v>0.44529999999999997</v>
      </c>
      <c r="C10" s="15">
        <v>0.44519999999999998</v>
      </c>
    </row>
    <row r="11" spans="1:4">
      <c r="A11" t="s">
        <v>196</v>
      </c>
      <c r="B11" t="s">
        <v>231</v>
      </c>
      <c r="C11">
        <v>8093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5A24-261A-4B9E-B4C4-601987AA2AEB}">
  <dimension ref="A1:A6"/>
  <sheetViews>
    <sheetView workbookViewId="0">
      <selection activeCell="A8" sqref="A8"/>
    </sheetView>
  </sheetViews>
  <sheetFormatPr defaultRowHeight="13.8"/>
  <sheetData>
    <row r="1" spans="1:1">
      <c r="A1" t="s">
        <v>232</v>
      </c>
    </row>
    <row r="2" spans="1:1">
      <c r="A2" t="s">
        <v>233</v>
      </c>
    </row>
    <row r="3" spans="1:1">
      <c r="A3" t="s">
        <v>234</v>
      </c>
    </row>
    <row r="4" spans="1:1">
      <c r="A4" t="s">
        <v>236</v>
      </c>
    </row>
    <row r="5" spans="1:1">
      <c r="A5" t="s">
        <v>235</v>
      </c>
    </row>
    <row r="6" spans="1:1">
      <c r="A6" t="s">
        <v>237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A0F7-2943-4117-BE82-2888B0599251}">
  <dimension ref="A1:A6"/>
  <sheetViews>
    <sheetView tabSelected="1" workbookViewId="0">
      <selection activeCell="M27" sqref="M27"/>
    </sheetView>
  </sheetViews>
  <sheetFormatPr defaultRowHeight="13.8"/>
  <sheetData>
    <row r="1" spans="1:1">
      <c r="A1" t="s">
        <v>238</v>
      </c>
    </row>
    <row r="2" spans="1:1">
      <c r="A2" t="s">
        <v>240</v>
      </c>
    </row>
    <row r="3" spans="1:1">
      <c r="A3" t="s">
        <v>239</v>
      </c>
    </row>
    <row r="4" spans="1:1">
      <c r="A4" t="s">
        <v>241</v>
      </c>
    </row>
    <row r="5" spans="1:1">
      <c r="A5" t="s">
        <v>242</v>
      </c>
    </row>
    <row r="6" spans="1:1">
      <c r="A6" t="s">
        <v>243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全国地方戏曲剧种</vt:lpstr>
      <vt:lpstr>全国戏曲剧团</vt:lpstr>
      <vt:lpstr>戏曲相关企业</vt:lpstr>
      <vt:lpstr>戏曲演出市场</vt:lpstr>
      <vt:lpstr>非遗</vt:lpstr>
      <vt:lpstr>抖音直播</vt:lpstr>
      <vt:lpstr>春晚节目</vt:lpstr>
      <vt:lpstr>杂</vt:lpstr>
      <vt:lpstr>抖音关键词（戏曲）</vt:lpstr>
      <vt:lpstr>抖音戏曲人物画像（近半年）</vt:lpstr>
      <vt:lpstr>抖音关键词对比（近半年）</vt:lpstr>
      <vt:lpstr>近年财政</vt:lpstr>
      <vt:lpstr>主播收入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姚紫宁</dc:creator>
  <cp:lastModifiedBy>学百香果 哲</cp:lastModifiedBy>
  <dcterms:created xsi:type="dcterms:W3CDTF">2015-06-05T18:19:34Z</dcterms:created>
  <dcterms:modified xsi:type="dcterms:W3CDTF">2026-05-18T14:15:51Z</dcterms:modified>
</cp:coreProperties>
</file>